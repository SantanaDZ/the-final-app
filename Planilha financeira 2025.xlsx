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ubro" sheetId="1" r:id="rId5"/>
    <sheet state="visible" name="Novembro" sheetId="2" r:id="rId6"/>
    <sheet state="visible" name="Dezembro" sheetId="3" r:id="rId7"/>
    <sheet state="visible" name="Cópia de Dezembro" sheetId="4" r:id="rId8"/>
    <sheet state="visible" name="Painel Geral" sheetId="5" r:id="rId9"/>
    <sheet state="visible" name="Whish list" sheetId="6" r:id="rId10"/>
    <sheet state="visible" name="Cofrinhos" sheetId="7" r:id="rId11"/>
  </sheets>
  <definedNames>
    <definedName hidden="1" localSheetId="0" name="_xlnm._FilterDatabase">Outubro!$M$8:$R$98</definedName>
    <definedName hidden="1" localSheetId="1" name="_xlnm._FilterDatabase">Novembro!$M$106:$R$125</definedName>
    <definedName hidden="1" localSheetId="2" name="_xlnm._FilterDatabase">Dezembro!$G$8:$K$20</definedName>
    <definedName hidden="1" localSheetId="3" name="_xlnm._FilterDatabase">'Cópia de Dezembro'!$G$8:$K$20</definedName>
    <definedName hidden="1" localSheetId="5" name="_xlnm._FilterDatabase">'Whish list'!$E$8:$J$24</definedName>
  </definedNames>
  <calcPr/>
</workbook>
</file>

<file path=xl/sharedStrings.xml><?xml version="1.0" encoding="utf-8"?>
<sst xmlns="http://schemas.openxmlformats.org/spreadsheetml/2006/main" count="1921" uniqueCount="328">
  <si>
    <t>Outubro</t>
  </si>
  <si>
    <t>ENTRADAS</t>
  </si>
  <si>
    <t>GASTOS FIXOS</t>
  </si>
  <si>
    <t>GASTOS VARIÁVEIS</t>
  </si>
  <si>
    <t>COFRINHOS</t>
  </si>
  <si>
    <t>Data</t>
  </si>
  <si>
    <t>Descrição</t>
  </si>
  <si>
    <t>Valor</t>
  </si>
  <si>
    <t>Forma</t>
  </si>
  <si>
    <t>Categoria</t>
  </si>
  <si>
    <t>Parcelas</t>
  </si>
  <si>
    <t>Rendimentos</t>
  </si>
  <si>
    <t>Prazo</t>
  </si>
  <si>
    <t>Progreso</t>
  </si>
  <si>
    <t>Meta</t>
  </si>
  <si>
    <t>07/10</t>
  </si>
  <si>
    <t>Reembolsos</t>
  </si>
  <si>
    <t>Itaú</t>
  </si>
  <si>
    <t>WeMeds</t>
  </si>
  <si>
    <t>Educação médica</t>
  </si>
  <si>
    <t>Tênis André</t>
  </si>
  <si>
    <t>Nubank</t>
  </si>
  <si>
    <t>Reserva</t>
  </si>
  <si>
    <t>-</t>
  </si>
  <si>
    <t>13/10</t>
  </si>
  <si>
    <t>Ta de Clinicagem</t>
  </si>
  <si>
    <t>Apice Comesticos</t>
  </si>
  <si>
    <t>Bem-estar/Saúde</t>
  </si>
  <si>
    <t>Residência</t>
  </si>
  <si>
    <t>Aval</t>
  </si>
  <si>
    <t>Vivo Celular</t>
  </si>
  <si>
    <t>Celular/tecnologia</t>
  </si>
  <si>
    <t>Araújo</t>
  </si>
  <si>
    <t>Móveis</t>
  </si>
  <si>
    <t>14/10</t>
  </si>
  <si>
    <t>Asmel</t>
  </si>
  <si>
    <t>Spotify</t>
  </si>
  <si>
    <t>Lazer</t>
  </si>
  <si>
    <t>Pix</t>
  </si>
  <si>
    <t>Autoescola</t>
  </si>
  <si>
    <t>Viagem</t>
  </si>
  <si>
    <t>Salubritá</t>
  </si>
  <si>
    <t>Contabilidade</t>
  </si>
  <si>
    <t>Contabilidade/impostos</t>
  </si>
  <si>
    <t>Boleto</t>
  </si>
  <si>
    <t>Presente Bee</t>
  </si>
  <si>
    <t>Presentes</t>
  </si>
  <si>
    <t>Total</t>
  </si>
  <si>
    <t>17/10</t>
  </si>
  <si>
    <t>Manicure</t>
  </si>
  <si>
    <t>Beleza</t>
  </si>
  <si>
    <t>Tênis Andrê</t>
  </si>
  <si>
    <t>20/10</t>
  </si>
  <si>
    <t>Whitebook</t>
  </si>
  <si>
    <t>Marisa</t>
  </si>
  <si>
    <t>Roupas/acessórios</t>
  </si>
  <si>
    <t>Outros</t>
  </si>
  <si>
    <t>Canva Mãe</t>
  </si>
  <si>
    <t>Compra centro</t>
  </si>
  <si>
    <t>Futilidades</t>
  </si>
  <si>
    <t>24/10</t>
  </si>
  <si>
    <t>Gympass</t>
  </si>
  <si>
    <t>Presente Rafa</t>
  </si>
  <si>
    <t>28/10</t>
  </si>
  <si>
    <t>Gympass André</t>
  </si>
  <si>
    <t>DiSavoia pizzaria</t>
  </si>
  <si>
    <t>Eventos</t>
  </si>
  <si>
    <t>27/10</t>
  </si>
  <si>
    <t>Google One</t>
  </si>
  <si>
    <t>Uber (aniver Mãe)</t>
  </si>
  <si>
    <t>Transporte</t>
  </si>
  <si>
    <t>Uber (aniver Davi)</t>
  </si>
  <si>
    <t>Salário mês</t>
  </si>
  <si>
    <t>99 (aniver Davi)</t>
  </si>
  <si>
    <t>99moto (Velocity)</t>
  </si>
  <si>
    <t>Principia</t>
  </si>
  <si>
    <t>Livro Amazon</t>
  </si>
  <si>
    <t>BALANÇO DO MÊS</t>
  </si>
  <si>
    <t>Corte cabelo</t>
  </si>
  <si>
    <t>Valores</t>
  </si>
  <si>
    <t>Lanche padaria</t>
  </si>
  <si>
    <t>Alimentação</t>
  </si>
  <si>
    <t>Saldo inicial</t>
  </si>
  <si>
    <t>Morangos</t>
  </si>
  <si>
    <t xml:space="preserve">Entradas </t>
  </si>
  <si>
    <t>Fatura Itaú</t>
  </si>
  <si>
    <t>Chocolate Asmel</t>
  </si>
  <si>
    <t>Fatura NuBank</t>
  </si>
  <si>
    <t>Riachuelo</t>
  </si>
  <si>
    <t>Saídas</t>
  </si>
  <si>
    <t>Presente Mãe</t>
  </si>
  <si>
    <t>Investidos</t>
  </si>
  <si>
    <t>Deck Boi na Brasa</t>
  </si>
  <si>
    <t>Saldo do mês</t>
  </si>
  <si>
    <t>Banheiro Cidade</t>
  </si>
  <si>
    <t>Uber (niver Brandão)</t>
  </si>
  <si>
    <t>Uber (arena do espeto)</t>
  </si>
  <si>
    <t>99 (arena do espeto)</t>
  </si>
  <si>
    <t>Bebidas Arena do Espeto</t>
  </si>
  <si>
    <t>Almoço Salubritá</t>
  </si>
  <si>
    <t>Uber inloco</t>
  </si>
  <si>
    <t>Marcação laser</t>
  </si>
  <si>
    <t>Uber Asmel</t>
  </si>
  <si>
    <t>Lanche Asmel</t>
  </si>
  <si>
    <t>Picolé Oggi</t>
  </si>
  <si>
    <t>Lojas Rede</t>
  </si>
  <si>
    <t>Vestido amarelo</t>
  </si>
  <si>
    <t>Uber (aniver Jonex)</t>
  </si>
  <si>
    <t>Bar do Bem</t>
  </si>
  <si>
    <t>Bar do Isaque</t>
  </si>
  <si>
    <t>Bebidas 3pretos</t>
  </si>
  <si>
    <t>99 (aniver Isadora)</t>
  </si>
  <si>
    <t>Entrada 3Pretos</t>
  </si>
  <si>
    <t>Baxo bar</t>
  </si>
  <si>
    <t xml:space="preserve">Mi corazon </t>
  </si>
  <si>
    <t>Uber (Baxo bar)</t>
  </si>
  <si>
    <t>Cervejas Brandão</t>
  </si>
  <si>
    <t>Sushi mãe</t>
  </si>
  <si>
    <t>Beco acessórios</t>
  </si>
  <si>
    <t>BHbus</t>
  </si>
  <si>
    <t>Presente Ana Souto</t>
  </si>
  <si>
    <t>Acessórios Chinês</t>
  </si>
  <si>
    <t>99 (shopping Mãe)</t>
  </si>
  <si>
    <t>99 (manicure)</t>
  </si>
  <si>
    <t>Peixe frito Salubritá</t>
  </si>
  <si>
    <t>Natura</t>
  </si>
  <si>
    <t>Depilação laser</t>
  </si>
  <si>
    <t>Headphone</t>
  </si>
  <si>
    <t>99 (laser)</t>
  </si>
  <si>
    <t>99 (clube Sirio)</t>
  </si>
  <si>
    <t>Resenha da Nath Giulia</t>
  </si>
  <si>
    <t>99 (niver Giulia)</t>
  </si>
  <si>
    <t>Buser SJC</t>
  </si>
  <si>
    <t>Viagens</t>
  </si>
  <si>
    <t>Clube Sírio</t>
  </si>
  <si>
    <t>Avaliação André</t>
  </si>
  <si>
    <t>99 Salubritá</t>
  </si>
  <si>
    <t>Suco Pilates</t>
  </si>
  <si>
    <t>Uber (Aval)</t>
  </si>
  <si>
    <t>Avião Bahia</t>
  </si>
  <si>
    <t>Taxa de embarque ????</t>
  </si>
  <si>
    <t>99 (Vale Tudo Milena)</t>
  </si>
  <si>
    <t>Bar Robson Stella</t>
  </si>
  <si>
    <t>Entrada Rolé Andre</t>
  </si>
  <si>
    <t>99 André e Fran</t>
  </si>
  <si>
    <t>Café Cultura</t>
  </si>
  <si>
    <t>Uber Fran e André</t>
  </si>
  <si>
    <t>Pousada Bahia</t>
  </si>
  <si>
    <t>Ficha academia</t>
  </si>
  <si>
    <t>Desafio fitness</t>
  </si>
  <si>
    <t>PARCELAS</t>
  </si>
  <si>
    <t>Novembro</t>
  </si>
  <si>
    <t>12/11</t>
  </si>
  <si>
    <t>8/9</t>
  </si>
  <si>
    <t>13/11</t>
  </si>
  <si>
    <t>3/3</t>
  </si>
  <si>
    <t>3/9</t>
  </si>
  <si>
    <t>26/11</t>
  </si>
  <si>
    <t>05/11</t>
  </si>
  <si>
    <t>2/2</t>
  </si>
  <si>
    <t>18/11</t>
  </si>
  <si>
    <t>Imposto de Renda PJ</t>
  </si>
  <si>
    <t>2/3</t>
  </si>
  <si>
    <t>Imposto PJ (DAS)</t>
  </si>
  <si>
    <t>1/9</t>
  </si>
  <si>
    <t xml:space="preserve">Xeque mate </t>
  </si>
  <si>
    <t>Bar do Orlando</t>
  </si>
  <si>
    <t>Araújo lanche Enare</t>
  </si>
  <si>
    <t>99 volta casa</t>
  </si>
  <si>
    <t>99 Enare</t>
  </si>
  <si>
    <t>99 Bar do Orlando</t>
  </si>
  <si>
    <t>Barrigudinha 1000ton</t>
  </si>
  <si>
    <t>Araújo shampoo</t>
  </si>
  <si>
    <t>Ingresso Mira!</t>
  </si>
  <si>
    <t>BhBus</t>
  </si>
  <si>
    <t>Câmera digital Kodak</t>
  </si>
  <si>
    <t>Chicletes Asmel</t>
  </si>
  <si>
    <t>Uber Tuanny</t>
  </si>
  <si>
    <t>99 Dona Margherita</t>
  </si>
  <si>
    <t>Bebidas Mira!</t>
  </si>
  <si>
    <t>Bebidas Resenha da Naty</t>
  </si>
  <si>
    <t>Rodízio de Pizza</t>
  </si>
  <si>
    <t>Uber Aniver Otati</t>
  </si>
  <si>
    <t>Almoço Sagradinha</t>
  </si>
  <si>
    <t>Sorvete Sagradinha</t>
  </si>
  <si>
    <t>99 almoço Sagradinha</t>
  </si>
  <si>
    <t>Magnólia Restaurante</t>
  </si>
  <si>
    <t>Rocket Confeitaria</t>
  </si>
  <si>
    <t>99 Almoço Day</t>
  </si>
  <si>
    <t>99 Volta Casa</t>
  </si>
  <si>
    <t>99 Café Bahia</t>
  </si>
  <si>
    <t>Almoço Café Bahia</t>
  </si>
  <si>
    <t>99 Casa Milena</t>
  </si>
  <si>
    <t>Mais Sabor</t>
  </si>
  <si>
    <t>Graal lanche</t>
  </si>
  <si>
    <t>99 Aval-casa</t>
  </si>
  <si>
    <t>99 Entrega Mala</t>
  </si>
  <si>
    <t>Pão de queijo aeroporto</t>
  </si>
  <si>
    <t>Cerveja SJC</t>
  </si>
  <si>
    <t>Uber Expominas</t>
  </si>
  <si>
    <t>99 Aval</t>
  </si>
  <si>
    <t>Peixe Frito Mãe</t>
  </si>
  <si>
    <t>Sorvete Mãe</t>
  </si>
  <si>
    <t>99 Salubritá-casa</t>
  </si>
  <si>
    <t>Concurso Contagem</t>
  </si>
  <si>
    <t>Uber Salubritá-casa</t>
  </si>
  <si>
    <t>Drogaria Pacheco</t>
  </si>
  <si>
    <t>99 Asmel</t>
  </si>
  <si>
    <t>Almoço Aval</t>
  </si>
  <si>
    <t>Shein ano novo</t>
  </si>
  <si>
    <t>Presente Isadora</t>
  </si>
  <si>
    <t>Shein praia</t>
  </si>
  <si>
    <t>Bhbus</t>
  </si>
  <si>
    <t>99 manicure</t>
  </si>
  <si>
    <t>Almoço Milena</t>
  </si>
  <si>
    <t>99 unimed</t>
  </si>
  <si>
    <t>99 biopsia</t>
  </si>
  <si>
    <t>99 milena</t>
  </si>
  <si>
    <t>Uber árabe</t>
  </si>
  <si>
    <t>99 noivado</t>
  </si>
  <si>
    <t>Uber volta noivado</t>
  </si>
  <si>
    <t>Uber Aval</t>
  </si>
  <si>
    <t>99 centro</t>
  </si>
  <si>
    <t>Araújo curativos</t>
  </si>
  <si>
    <t>Airbnb Bahia</t>
  </si>
  <si>
    <t>Árabe e antartica</t>
  </si>
  <si>
    <t>99 pop</t>
  </si>
  <si>
    <t>Transfer Boipeba</t>
  </si>
  <si>
    <t>Escrivaninha</t>
  </si>
  <si>
    <t>Casa</t>
  </si>
  <si>
    <t>Fatura</t>
  </si>
  <si>
    <t>Dezembro</t>
  </si>
  <si>
    <t>10/12</t>
  </si>
  <si>
    <t>9/9</t>
  </si>
  <si>
    <t>4/9</t>
  </si>
  <si>
    <t>2/9</t>
  </si>
  <si>
    <t>2/12</t>
  </si>
  <si>
    <t>99 vó</t>
  </si>
  <si>
    <t>Cerveja 1000ton</t>
  </si>
  <si>
    <t>Uber 1000ton</t>
  </si>
  <si>
    <t>Pao de queijo Aval</t>
  </si>
  <si>
    <t>99 churras Isadora</t>
  </si>
  <si>
    <t>Champanhe Isadora</t>
  </si>
  <si>
    <t>99 casa Isadora</t>
  </si>
  <si>
    <t>99 Porks</t>
  </si>
  <si>
    <t>Americanas doces</t>
  </si>
  <si>
    <t>Dentista</t>
  </si>
  <si>
    <t>Dentista André</t>
  </si>
  <si>
    <t>Medway</t>
  </si>
  <si>
    <t>Shampoo Ápice</t>
  </si>
  <si>
    <t>99 Unimed Vó</t>
  </si>
  <si>
    <t>99 Casa Vó</t>
  </si>
  <si>
    <t>Clareamento André</t>
  </si>
  <si>
    <t>Cama box</t>
  </si>
  <si>
    <t>Lente de contato</t>
  </si>
  <si>
    <t>Ali ba bar</t>
  </si>
  <si>
    <t>99 ali ba bar</t>
  </si>
  <si>
    <t>Chopp da praça</t>
  </si>
  <si>
    <t>Bebidas Forno da sdds</t>
  </si>
  <si>
    <t>Bebidas Quintal Jabú</t>
  </si>
  <si>
    <t>99 Quintal Jabú</t>
  </si>
  <si>
    <t>Show Seu Jorge</t>
  </si>
  <si>
    <t>Sushi Delrey</t>
  </si>
  <si>
    <t>99 Delrey</t>
  </si>
  <si>
    <t>Presente amigo oculto</t>
  </si>
  <si>
    <t>Renner</t>
  </si>
  <si>
    <t>Uber Marques</t>
  </si>
  <si>
    <t>m</t>
  </si>
  <si>
    <t>OUT</t>
  </si>
  <si>
    <t>NOV</t>
  </si>
  <si>
    <t>DEZ</t>
  </si>
  <si>
    <t>SAÍDAS</t>
  </si>
  <si>
    <t>INVESTIDO</t>
  </si>
  <si>
    <t>SALDO</t>
  </si>
  <si>
    <t>SALÁRIO MIN</t>
  </si>
  <si>
    <t>GASTOS MÁX</t>
  </si>
  <si>
    <t>INVEST MIN</t>
  </si>
  <si>
    <t>Whish List 2025</t>
  </si>
  <si>
    <t>Prioridade</t>
  </si>
  <si>
    <t>Comprado</t>
  </si>
  <si>
    <t>Mala de viagem</t>
  </si>
  <si>
    <t>Baixa</t>
  </si>
  <si>
    <t>Silicone</t>
  </si>
  <si>
    <t>Média</t>
  </si>
  <si>
    <t>Calcinhas</t>
  </si>
  <si>
    <t>Alta</t>
  </si>
  <si>
    <t>Roupas de trabalhar</t>
  </si>
  <si>
    <t>Roupas de academia</t>
  </si>
  <si>
    <t>Cadeira escritório</t>
  </si>
  <si>
    <t>TV</t>
  </si>
  <si>
    <t>Bota meia pata</t>
  </si>
  <si>
    <t>Regatas Miso</t>
  </si>
  <si>
    <t xml:space="preserve">Cartão de memória </t>
  </si>
  <si>
    <t>Cursinho R1</t>
  </si>
  <si>
    <t>Cama Box</t>
  </si>
  <si>
    <t>Roupas Shein</t>
  </si>
  <si>
    <t xml:space="preserve">Camera digital </t>
  </si>
  <si>
    <t>Cofrinhos</t>
  </si>
  <si>
    <t>GUARDADO</t>
  </si>
  <si>
    <t>META</t>
  </si>
  <si>
    <t>PROGRESSO</t>
  </si>
  <si>
    <t>JAN</t>
  </si>
  <si>
    <t>FEV</t>
  </si>
  <si>
    <t>MAR</t>
  </si>
  <si>
    <t>ABR</t>
  </si>
  <si>
    <t>MAIO</t>
  </si>
  <si>
    <t>JUN</t>
  </si>
  <si>
    <t>JUL</t>
  </si>
  <si>
    <t>AGOS</t>
  </si>
  <si>
    <t>SET</t>
  </si>
  <si>
    <t>RESIDÊNCIA</t>
  </si>
  <si>
    <t>RENDIMENTOS</t>
  </si>
  <si>
    <t>META MENSAL</t>
  </si>
  <si>
    <t>BALANÇO</t>
  </si>
  <si>
    <t>TOTAL</t>
  </si>
  <si>
    <t>PRAZO</t>
  </si>
  <si>
    <t>MAR/2027</t>
  </si>
  <si>
    <t>META TOTAL</t>
  </si>
  <si>
    <t>TEMPO TOTAL</t>
  </si>
  <si>
    <t>17 MESES</t>
  </si>
  <si>
    <t>RESERVA</t>
  </si>
  <si>
    <t>MÓVEIS</t>
  </si>
  <si>
    <t>01/2026</t>
  </si>
  <si>
    <t>4 MESES</t>
  </si>
  <si>
    <t>BAHIA</t>
  </si>
  <si>
    <t>12/2025</t>
  </si>
  <si>
    <t>3 MESES</t>
  </si>
  <si>
    <t>SILICONE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</si>
</sst>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R$ -416]#,##0.00"/>
    <numFmt numFmtId="165" formatCode="dd/mm"/>
    <numFmt numFmtId="166" formatCode="dd&quot;/&quot;mm"/>
    <numFmt numFmtId="167" formatCode="d/m"/>
    <numFmt numFmtId="168" formatCode="mm/yyyy"/>
    <numFmt numFmtId="169" formatCode="m/yyyy"/>
    <numFmt numFmtId="170" formatCode="dd&quot;/&quot;mm&quot;/&quot;yy"/>
  </numFmts>
  <fonts count="13">
    <font>
      <sz val="10.0"/>
      <color rgb="FF000000"/>
      <name val="Arial"/>
      <scheme val="minor"/>
    </font>
    <font>
      <color theme="1"/>
      <name val="Nunito"/>
    </font>
    <font>
      <sz val="44.0"/>
      <color rgb="FF000000"/>
      <name val="Lobster"/>
    </font>
    <font/>
    <font>
      <b/>
      <sz val="11.0"/>
      <color theme="1"/>
      <name val="Nunito"/>
    </font>
    <font>
      <b/>
      <color theme="1"/>
      <name val="Nunito"/>
    </font>
    <font>
      <b/>
      <sz val="10.0"/>
      <color theme="1"/>
      <name val="Nunito"/>
    </font>
    <font>
      <color theme="1"/>
      <name val="Arial"/>
      <scheme val="minor"/>
    </font>
    <font>
      <color rgb="FF38761D"/>
      <name val="Nunito"/>
    </font>
    <font>
      <color rgb="FFFF0000"/>
      <name val="Nunito"/>
    </font>
    <font>
      <color theme="1"/>
      <name val="Merriweather"/>
    </font>
    <font>
      <sz val="19.0"/>
      <color theme="1"/>
      <name val="Lobster"/>
    </font>
    <font>
      <sz val="37.0"/>
      <color rgb="FFBF9000"/>
      <name val="Lobster"/>
    </font>
  </fonts>
  <fills count="2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74F135"/>
        <bgColor rgb="FF74F135"/>
      </patternFill>
    </fill>
    <fill>
      <patternFill patternType="solid">
        <fgColor rgb="FF9378E1"/>
        <bgColor rgb="FF9378E1"/>
      </patternFill>
    </fill>
    <fill>
      <patternFill patternType="solid">
        <fgColor rgb="FFFC6AB6"/>
        <bgColor rgb="FFFC6AB6"/>
      </patternFill>
    </fill>
    <fill>
      <patternFill patternType="solid">
        <fgColor rgb="FFFFFF37"/>
        <bgColor rgb="FFFFFF37"/>
      </patternFill>
    </fill>
    <fill>
      <patternFill patternType="solid">
        <fgColor rgb="FFBEF2A4"/>
        <bgColor rgb="FFBEF2A4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7EE89"/>
        <bgColor rgb="FFF7EE89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E69138"/>
        <bgColor rgb="FFE69138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ED80B9"/>
        <bgColor rgb="FFED80B9"/>
      </patternFill>
    </fill>
    <fill>
      <patternFill patternType="solid">
        <fgColor rgb="FFFFCEE8"/>
        <bgColor rgb="FFFFCEE8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</fills>
  <borders count="29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8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2" fontId="2" numFmtId="0" xfId="0" applyAlignment="1" applyBorder="1" applyFill="1" applyFont="1">
      <alignment horizontal="center" readingOrder="0" vertical="center"/>
    </xf>
    <xf borderId="5" fillId="0" fontId="3" numFmtId="0" xfId="0" applyBorder="1" applyFont="1"/>
    <xf borderId="6" fillId="0" fontId="3" numFmtId="0" xfId="0" applyBorder="1" applyFont="1"/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1" numFmtId="0" xfId="0" applyAlignment="1" applyBorder="1" applyFont="1">
      <alignment horizontal="center"/>
    </xf>
    <xf borderId="15" fillId="3" fontId="4" numFmtId="0" xfId="0" applyAlignment="1" applyBorder="1" applyFill="1" applyFont="1">
      <alignment horizontal="center" readingOrder="0"/>
    </xf>
    <xf borderId="16" fillId="0" fontId="3" numFmtId="0" xfId="0" applyBorder="1" applyFont="1"/>
    <xf borderId="17" fillId="0" fontId="3" numFmtId="0" xfId="0" applyBorder="1" applyFont="1"/>
    <xf borderId="15" fillId="4" fontId="4" numFmtId="0" xfId="0" applyAlignment="1" applyBorder="1" applyFill="1" applyFont="1">
      <alignment horizontal="center" readingOrder="0"/>
    </xf>
    <xf borderId="18" fillId="0" fontId="1" numFmtId="0" xfId="0" applyAlignment="1" applyBorder="1" applyFont="1">
      <alignment horizontal="center"/>
    </xf>
    <xf borderId="15" fillId="5" fontId="4" numFmtId="0" xfId="0" applyAlignment="1" applyBorder="1" applyFill="1" applyFont="1">
      <alignment horizontal="center" readingOrder="0"/>
    </xf>
    <xf borderId="15" fillId="6" fontId="4" numFmtId="0" xfId="0" applyAlignment="1" applyBorder="1" applyFill="1" applyFont="1">
      <alignment horizontal="center" readingOrder="0"/>
    </xf>
    <xf borderId="8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9" fillId="7" fontId="5" numFmtId="0" xfId="0" applyAlignment="1" applyBorder="1" applyFill="1" applyFont="1">
      <alignment horizontal="center" readingOrder="0"/>
    </xf>
    <xf borderId="20" fillId="7" fontId="5" numFmtId="0" xfId="0" applyAlignment="1" applyBorder="1" applyFont="1">
      <alignment horizontal="center" readingOrder="0"/>
    </xf>
    <xf borderId="20" fillId="7" fontId="5" numFmtId="164" xfId="0" applyAlignment="1" applyBorder="1" applyFont="1" applyNumberFormat="1">
      <alignment horizontal="center" readingOrder="0"/>
    </xf>
    <xf borderId="20" fillId="8" fontId="5" numFmtId="0" xfId="0" applyAlignment="1" applyBorder="1" applyFill="1" applyFont="1">
      <alignment horizontal="center" readingOrder="0"/>
    </xf>
    <xf borderId="20" fillId="8" fontId="5" numFmtId="164" xfId="0" applyAlignment="1" applyBorder="1" applyFont="1" applyNumberFormat="1">
      <alignment horizontal="center" readingOrder="0"/>
    </xf>
    <xf borderId="19" fillId="9" fontId="5" numFmtId="0" xfId="0" applyAlignment="1" applyBorder="1" applyFill="1" applyFont="1">
      <alignment horizontal="center" readingOrder="0"/>
    </xf>
    <xf borderId="19" fillId="9" fontId="5" numFmtId="164" xfId="0" applyAlignment="1" applyBorder="1" applyFont="1" applyNumberFormat="1">
      <alignment horizontal="center" readingOrder="0"/>
    </xf>
    <xf borderId="20" fillId="10" fontId="5" numFmtId="0" xfId="0" applyAlignment="1" applyBorder="1" applyFill="1" applyFont="1">
      <alignment horizontal="center" readingOrder="0"/>
    </xf>
    <xf borderId="20" fillId="10" fontId="5" numFmtId="164" xfId="0" applyAlignment="1" applyBorder="1" applyFont="1" applyNumberFormat="1">
      <alignment horizontal="center" readingOrder="0"/>
    </xf>
    <xf borderId="8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9" fillId="0" fontId="1" numFmtId="49" xfId="0" applyAlignment="1" applyBorder="1" applyFont="1" applyNumberFormat="1">
      <alignment horizontal="center" readingOrder="0"/>
    </xf>
    <xf borderId="19" fillId="0" fontId="1" numFmtId="0" xfId="0" applyAlignment="1" applyBorder="1" applyFont="1">
      <alignment horizontal="center" readingOrder="0"/>
    </xf>
    <xf borderId="19" fillId="0" fontId="1" numFmtId="164" xfId="0" applyAlignment="1" applyBorder="1" applyFont="1" applyNumberFormat="1">
      <alignment horizontal="center" readingOrder="0"/>
    </xf>
    <xf borderId="19" fillId="0" fontId="1" numFmtId="165" xfId="0" applyAlignment="1" applyBorder="1" applyFont="1" applyNumberFormat="1">
      <alignment horizontal="center" readingOrder="0"/>
    </xf>
    <xf borderId="19" fillId="0" fontId="1" numFmtId="166" xfId="0" applyAlignment="1" applyBorder="1" applyFont="1" applyNumberFormat="1">
      <alignment horizontal="center" readingOrder="0"/>
    </xf>
    <xf borderId="19" fillId="0" fontId="1" numFmtId="167" xfId="0" applyAlignment="1" applyBorder="1" applyFont="1" applyNumberFormat="1">
      <alignment horizontal="center" readingOrder="0"/>
    </xf>
    <xf borderId="19" fillId="0" fontId="1" numFmtId="164" xfId="0" applyAlignment="1" applyBorder="1" applyFont="1" applyNumberFormat="1">
      <alignment horizontal="center"/>
    </xf>
    <xf borderId="19" fillId="0" fontId="1" numFmtId="10" xfId="0" applyAlignment="1" applyBorder="1" applyFont="1" applyNumberFormat="1">
      <alignment horizontal="center" readingOrder="0"/>
    </xf>
    <xf borderId="8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19" fillId="0" fontId="1" numFmtId="168" xfId="0" applyAlignment="1" applyBorder="1" applyFont="1" applyNumberFormat="1">
      <alignment horizontal="center" readingOrder="0"/>
    </xf>
    <xf borderId="19" fillId="0" fontId="1" numFmtId="169" xfId="0" applyAlignment="1" applyBorder="1" applyFont="1" applyNumberFormat="1">
      <alignment horizontal="center" readingOrder="0"/>
    </xf>
    <xf borderId="19" fillId="0" fontId="1" numFmtId="10" xfId="0" applyAlignment="1" applyBorder="1" applyFont="1" applyNumberFormat="1">
      <alignment horizontal="center"/>
    </xf>
    <xf borderId="19" fillId="10" fontId="1" numFmtId="0" xfId="0" applyAlignment="1" applyBorder="1" applyFont="1">
      <alignment horizontal="center"/>
    </xf>
    <xf borderId="19" fillId="10" fontId="5" numFmtId="0" xfId="0" applyAlignment="1" applyBorder="1" applyFont="1">
      <alignment horizontal="center" readingOrder="0"/>
    </xf>
    <xf borderId="19" fillId="10" fontId="6" numFmtId="164" xfId="0" applyAlignment="1" applyBorder="1" applyFont="1" applyNumberFormat="1">
      <alignment horizontal="center"/>
    </xf>
    <xf borderId="19" fillId="10" fontId="1" numFmtId="164" xfId="0" applyAlignment="1" applyBorder="1" applyFont="1" applyNumberFormat="1">
      <alignment horizontal="center"/>
    </xf>
    <xf borderId="19" fillId="10" fontId="1" numFmtId="10" xfId="0" applyAlignment="1" applyBorder="1" applyFont="1" applyNumberFormat="1">
      <alignment horizontal="center"/>
    </xf>
    <xf borderId="8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14" fillId="0" fontId="1" numFmtId="164" xfId="0" applyAlignment="1" applyBorder="1" applyFont="1" applyNumberFormat="1">
      <alignment horizontal="center"/>
    </xf>
    <xf borderId="14" fillId="0" fontId="1" numFmtId="10" xfId="0" applyAlignment="1" applyBorder="1" applyFont="1" applyNumberFormat="1">
      <alignment horizontal="center"/>
    </xf>
    <xf borderId="1" fillId="0" fontId="1" numFmtId="10" xfId="0" applyAlignment="1" applyBorder="1" applyFont="1" applyNumberFormat="1">
      <alignment horizontal="center"/>
    </xf>
    <xf borderId="19" fillId="0" fontId="1" numFmtId="166" xfId="0" applyAlignment="1" applyBorder="1" applyFont="1" applyNumberFormat="1">
      <alignment horizontal="center" readingOrder="0" vertical="bottom"/>
    </xf>
    <xf borderId="19" fillId="0" fontId="1" numFmtId="0" xfId="0" applyAlignment="1" applyBorder="1" applyFont="1">
      <alignment horizontal="center" readingOrder="0" vertical="bottom"/>
    </xf>
    <xf borderId="19" fillId="0" fontId="1" numFmtId="167" xfId="0" applyAlignment="1" applyBorder="1" applyFont="1" applyNumberFormat="1">
      <alignment horizontal="center" readingOrder="0" vertical="bottom"/>
    </xf>
    <xf borderId="19" fillId="0" fontId="1" numFmtId="164" xfId="0" applyAlignment="1" applyBorder="1" applyFont="1" applyNumberFormat="1">
      <alignment horizontal="center" readingOrder="0" vertical="bottom"/>
    </xf>
    <xf borderId="21" fillId="0" fontId="1" numFmtId="49" xfId="0" applyAlignment="1" applyBorder="1" applyFont="1" applyNumberFormat="1">
      <alignment horizontal="center" readingOrder="0"/>
    </xf>
    <xf borderId="21" fillId="0" fontId="1" numFmtId="0" xfId="0" applyAlignment="1" applyBorder="1" applyFont="1">
      <alignment horizontal="center" readingOrder="0"/>
    </xf>
    <xf borderId="19" fillId="0" fontId="1" numFmtId="165" xfId="0" applyAlignment="1" applyBorder="1" applyFont="1" applyNumberFormat="1">
      <alignment horizontal="center" readingOrder="0" vertical="bottom"/>
    </xf>
    <xf borderId="3" fillId="2" fontId="4" numFmtId="0" xfId="0" applyAlignment="1" applyBorder="1" applyFont="1">
      <alignment horizontal="center" readingOrder="0"/>
    </xf>
    <xf borderId="19" fillId="7" fontId="6" numFmtId="164" xfId="0" applyAlignment="1" applyBorder="1" applyFont="1" applyNumberFormat="1">
      <alignment horizontal="center"/>
    </xf>
    <xf borderId="19" fillId="8" fontId="1" numFmtId="0" xfId="0" applyAlignment="1" applyBorder="1" applyFont="1">
      <alignment horizontal="center"/>
    </xf>
    <xf borderId="17" fillId="8" fontId="5" numFmtId="0" xfId="0" applyAlignment="1" applyBorder="1" applyFont="1">
      <alignment horizontal="center" readingOrder="0"/>
    </xf>
    <xf borderId="19" fillId="8" fontId="6" numFmtId="164" xfId="0" applyAlignment="1" applyBorder="1" applyFont="1" applyNumberFormat="1">
      <alignment horizontal="center"/>
    </xf>
    <xf borderId="19" fillId="11" fontId="5" numFmtId="0" xfId="0" applyAlignment="1" applyBorder="1" applyFill="1" applyFont="1">
      <alignment horizontal="center" readingOrder="0"/>
    </xf>
    <xf borderId="19" fillId="11" fontId="5" numFmtId="164" xfId="0" applyAlignment="1" applyBorder="1" applyFont="1" applyNumberFormat="1">
      <alignment horizontal="center" readingOrder="0"/>
    </xf>
    <xf borderId="19" fillId="11" fontId="5" numFmtId="10" xfId="0" applyAlignment="1" applyBorder="1" applyFont="1" applyNumberFormat="1">
      <alignment horizontal="center" readingOrder="0"/>
    </xf>
    <xf borderId="14" fillId="0" fontId="4" numFmtId="0" xfId="0" applyAlignment="1" applyBorder="1" applyFont="1">
      <alignment horizontal="center" readingOrder="0"/>
    </xf>
    <xf borderId="14" fillId="0" fontId="5" numFmtId="0" xfId="0" applyAlignment="1" applyBorder="1" applyFont="1">
      <alignment horizontal="center" readingOrder="0"/>
    </xf>
    <xf borderId="14" fillId="0" fontId="6" numFmtId="164" xfId="0" applyAlignment="1" applyBorder="1" applyFont="1" applyNumberFormat="1">
      <alignment horizontal="center"/>
    </xf>
    <xf borderId="1" fillId="0" fontId="6" numFmtId="164" xfId="0" applyAlignment="1" applyBorder="1" applyFont="1" applyNumberFormat="1">
      <alignment horizontal="center"/>
    </xf>
    <xf borderId="1" fillId="0" fontId="7" numFmtId="0" xfId="0" applyBorder="1" applyFont="1"/>
    <xf borderId="15" fillId="12" fontId="4" numFmtId="0" xfId="0" applyAlignment="1" applyBorder="1" applyFill="1" applyFont="1">
      <alignment horizontal="center" readingOrder="0"/>
    </xf>
    <xf borderId="20" fillId="2" fontId="5" numFmtId="0" xfId="0" applyAlignment="1" applyBorder="1" applyFont="1">
      <alignment horizontal="center" readingOrder="0"/>
    </xf>
    <xf borderId="20" fillId="13" fontId="5" numFmtId="164" xfId="0" applyAlignment="1" applyBorder="1" applyFill="1" applyFont="1" applyNumberFormat="1">
      <alignment horizontal="center" readingOrder="0"/>
    </xf>
    <xf borderId="20" fillId="13" fontId="5" numFmtId="0" xfId="0" applyAlignment="1" applyBorder="1" applyFont="1">
      <alignment horizontal="center" readingOrder="0"/>
    </xf>
    <xf borderId="20" fillId="2" fontId="5" numFmtId="164" xfId="0" applyAlignment="1" applyBorder="1" applyFont="1" applyNumberFormat="1">
      <alignment horizontal="center" readingOrder="0"/>
    </xf>
    <xf borderId="20" fillId="14" fontId="5" numFmtId="0" xfId="0" applyAlignment="1" applyBorder="1" applyFill="1" applyFont="1">
      <alignment horizontal="center" readingOrder="0"/>
    </xf>
    <xf borderId="19" fillId="14" fontId="6" numFmtId="164" xfId="0" applyAlignment="1" applyBorder="1" applyFont="1" applyNumberFormat="1">
      <alignment horizontal="center"/>
    </xf>
    <xf borderId="19" fillId="14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2" fillId="0" fontId="1" numFmtId="164" xfId="0" applyAlignment="1" applyBorder="1" applyFont="1" applyNumberFormat="1">
      <alignment horizontal="center"/>
    </xf>
    <xf borderId="19" fillId="0" fontId="1" numFmtId="9" xfId="0" applyAlignment="1" applyBorder="1" applyFont="1" applyNumberFormat="1">
      <alignment horizontal="center" readingOrder="0"/>
    </xf>
    <xf borderId="17" fillId="9" fontId="1" numFmtId="0" xfId="0" applyAlignment="1" applyBorder="1" applyFont="1">
      <alignment horizontal="center"/>
    </xf>
    <xf borderId="19" fillId="9" fontId="1" numFmtId="0" xfId="0" applyAlignment="1" applyBorder="1" applyFont="1">
      <alignment horizontal="center"/>
    </xf>
    <xf borderId="19" fillId="9" fontId="6" numFmtId="164" xfId="0" applyAlignment="1" applyBorder="1" applyFont="1" applyNumberFormat="1">
      <alignment horizontal="center"/>
    </xf>
    <xf borderId="15" fillId="15" fontId="4" numFmtId="0" xfId="0" applyAlignment="1" applyBorder="1" applyFill="1" applyFont="1">
      <alignment horizontal="center" readingOrder="0"/>
    </xf>
    <xf borderId="20" fillId="16" fontId="5" numFmtId="0" xfId="0" applyAlignment="1" applyBorder="1" applyFill="1" applyFont="1">
      <alignment horizontal="center" readingOrder="0"/>
    </xf>
    <xf borderId="20" fillId="16" fontId="5" numFmtId="164" xfId="0" applyAlignment="1" applyBorder="1" applyFont="1" applyNumberFormat="1">
      <alignment horizontal="center" readingOrder="0"/>
    </xf>
    <xf borderId="19" fillId="0" fontId="1" numFmtId="166" xfId="0" applyAlignment="1" applyBorder="1" applyFont="1" applyNumberFormat="1">
      <alignment horizontal="center" vertical="bottom"/>
    </xf>
    <xf borderId="19" fillId="0" fontId="1" numFmtId="0" xfId="0" applyAlignment="1" applyBorder="1" applyFont="1">
      <alignment horizontal="center" vertical="bottom"/>
    </xf>
    <xf borderId="19" fillId="0" fontId="1" numFmtId="167" xfId="0" applyAlignment="1" applyBorder="1" applyFont="1" applyNumberFormat="1">
      <alignment horizontal="center" vertical="bottom"/>
    </xf>
    <xf borderId="19" fillId="0" fontId="1" numFmtId="164" xfId="0" applyAlignment="1" applyBorder="1" applyFont="1" applyNumberFormat="1">
      <alignment horizontal="center" vertical="bottom"/>
    </xf>
    <xf borderId="19" fillId="0" fontId="1" numFmtId="9" xfId="0" applyAlignment="1" applyBorder="1" applyFont="1" applyNumberFormat="1">
      <alignment horizontal="center" vertical="bottom"/>
    </xf>
    <xf borderId="19" fillId="0" fontId="7" numFmtId="0" xfId="0" applyBorder="1" applyFont="1"/>
    <xf borderId="19" fillId="16" fontId="1" numFmtId="0" xfId="0" applyAlignment="1" applyBorder="1" applyFont="1">
      <alignment horizontal="center"/>
    </xf>
    <xf borderId="19" fillId="16" fontId="5" numFmtId="0" xfId="0" applyAlignment="1" applyBorder="1" applyFont="1">
      <alignment horizontal="center" readingOrder="0"/>
    </xf>
    <xf borderId="19" fillId="16" fontId="6" numFmtId="164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/>
    </xf>
    <xf borderId="8" fillId="2" fontId="4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 readingOrder="0"/>
    </xf>
    <xf borderId="20" fillId="9" fontId="5" numFmtId="0" xfId="0" applyAlignment="1" applyBorder="1" applyFont="1">
      <alignment horizontal="center" readingOrder="0"/>
    </xf>
    <xf borderId="20" fillId="9" fontId="5" numFmtId="164" xfId="0" applyAlignment="1" applyBorder="1" applyFont="1" applyNumberFormat="1">
      <alignment horizontal="center" readingOrder="0"/>
    </xf>
    <xf borderId="8" fillId="2" fontId="5" numFmtId="0" xfId="0" applyAlignment="1" applyBorder="1" applyFont="1">
      <alignment horizontal="center" readingOrder="0"/>
    </xf>
    <xf borderId="1" fillId="2" fontId="5" numFmtId="0" xfId="0" applyAlignment="1" applyBorder="1" applyFont="1">
      <alignment horizontal="center" readingOrder="0"/>
    </xf>
    <xf borderId="8" fillId="2" fontId="1" numFmtId="164" xfId="0" applyAlignment="1" applyBorder="1" applyFont="1" applyNumberFormat="1">
      <alignment horizontal="center" readingOrder="0"/>
    </xf>
    <xf borderId="1" fillId="2" fontId="1" numFmtId="164" xfId="0" applyAlignment="1" applyBorder="1" applyFont="1" applyNumberFormat="1">
      <alignment horizontal="center" readingOrder="0"/>
    </xf>
    <xf borderId="19" fillId="0" fontId="1" numFmtId="49" xfId="0" applyAlignment="1" applyBorder="1" applyFont="1" applyNumberFormat="1">
      <alignment horizontal="center" readingOrder="0" vertical="bottom"/>
    </xf>
    <xf borderId="21" fillId="10" fontId="5" numFmtId="0" xfId="0" applyAlignment="1" applyBorder="1" applyFont="1">
      <alignment horizontal="center" readingOrder="0"/>
    </xf>
    <xf borderId="21" fillId="10" fontId="6" numFmtId="164" xfId="0" applyAlignment="1" applyBorder="1" applyFont="1" applyNumberFormat="1">
      <alignment horizontal="center"/>
    </xf>
    <xf borderId="21" fillId="10" fontId="1" numFmtId="164" xfId="0" applyAlignment="1" applyBorder="1" applyFont="1" applyNumberFormat="1">
      <alignment horizontal="center"/>
    </xf>
    <xf borderId="21" fillId="10" fontId="1" numFmtId="10" xfId="0" applyAlignment="1" applyBorder="1" applyFont="1" applyNumberFormat="1">
      <alignment horizontal="center"/>
    </xf>
    <xf borderId="8" fillId="2" fontId="1" numFmtId="164" xfId="0" applyAlignment="1" applyBorder="1" applyFont="1" applyNumberFormat="1">
      <alignment horizontal="center"/>
    </xf>
    <xf borderId="1" fillId="2" fontId="1" numFmtId="164" xfId="0" applyAlignment="1" applyBorder="1" applyFont="1" applyNumberFormat="1">
      <alignment horizontal="center"/>
    </xf>
    <xf borderId="22" fillId="0" fontId="1" numFmtId="0" xfId="0" applyAlignment="1" applyBorder="1" applyFont="1">
      <alignment horizontal="center"/>
    </xf>
    <xf borderId="22" fillId="0" fontId="1" numFmtId="164" xfId="0" applyAlignment="1" applyBorder="1" applyFont="1" applyNumberFormat="1">
      <alignment horizontal="center"/>
    </xf>
    <xf borderId="22" fillId="0" fontId="1" numFmtId="10" xfId="0" applyAlignment="1" applyBorder="1" applyFont="1" applyNumberFormat="1">
      <alignment horizontal="center"/>
    </xf>
    <xf borderId="21" fillId="0" fontId="1" numFmtId="167" xfId="0" applyAlignment="1" applyBorder="1" applyFont="1" applyNumberFormat="1">
      <alignment horizontal="center" readingOrder="0"/>
    </xf>
    <xf borderId="21" fillId="8" fontId="1" numFmtId="0" xfId="0" applyAlignment="1" applyBorder="1" applyFont="1">
      <alignment horizontal="center"/>
    </xf>
    <xf borderId="23" fillId="8" fontId="5" numFmtId="0" xfId="0" applyAlignment="1" applyBorder="1" applyFont="1">
      <alignment horizontal="center" readingOrder="0"/>
    </xf>
    <xf borderId="21" fillId="8" fontId="6" numFmtId="164" xfId="0" applyAlignment="1" applyBorder="1" applyFont="1" applyNumberFormat="1">
      <alignment horizontal="center"/>
    </xf>
    <xf borderId="19" fillId="0" fontId="1" numFmtId="49" xfId="0" applyAlignment="1" applyBorder="1" applyFont="1" applyNumberFormat="1">
      <alignment horizontal="center" vertical="bottom"/>
    </xf>
    <xf borderId="19" fillId="0" fontId="8" numFmtId="164" xfId="0" applyAlignment="1" applyBorder="1" applyFont="1" applyNumberFormat="1">
      <alignment horizontal="center"/>
    </xf>
    <xf borderId="19" fillId="0" fontId="9" numFmtId="164" xfId="0" applyAlignment="1" applyBorder="1" applyFont="1" applyNumberFormat="1">
      <alignment horizontal="center"/>
    </xf>
    <xf borderId="24" fillId="0" fontId="1" numFmtId="0" xfId="0" applyAlignment="1" applyBorder="1" applyFont="1">
      <alignment horizontal="center"/>
    </xf>
    <xf borderId="23" fillId="9" fontId="1" numFmtId="0" xfId="0" applyAlignment="1" applyBorder="1" applyFont="1">
      <alignment horizontal="center"/>
    </xf>
    <xf borderId="21" fillId="9" fontId="5" numFmtId="0" xfId="0" applyAlignment="1" applyBorder="1" applyFont="1">
      <alignment horizontal="center" readingOrder="0"/>
    </xf>
    <xf borderId="21" fillId="9" fontId="1" numFmtId="0" xfId="0" applyAlignment="1" applyBorder="1" applyFont="1">
      <alignment horizontal="center"/>
    </xf>
    <xf borderId="21" fillId="9" fontId="6" numFmtId="164" xfId="0" applyAlignment="1" applyBorder="1" applyFont="1" applyNumberFormat="1">
      <alignment horizontal="center"/>
    </xf>
    <xf borderId="22" fillId="0" fontId="1" numFmtId="166" xfId="0" applyAlignment="1" applyBorder="1" applyFont="1" applyNumberFormat="1">
      <alignment horizontal="center" readingOrder="0"/>
    </xf>
    <xf borderId="22" fillId="0" fontId="1" numFmtId="0" xfId="0" applyAlignment="1" applyBorder="1" applyFont="1">
      <alignment horizontal="center" readingOrder="0"/>
    </xf>
    <xf borderId="22" fillId="0" fontId="1" numFmtId="9" xfId="0" applyAlignment="1" applyBorder="1" applyFont="1" applyNumberFormat="1">
      <alignment horizontal="center" readingOrder="0"/>
    </xf>
    <xf borderId="22" fillId="0" fontId="1" numFmtId="164" xfId="0" applyAlignment="1" applyBorder="1" applyFont="1" applyNumberFormat="1">
      <alignment horizontal="center" readingOrder="0"/>
    </xf>
    <xf borderId="3" fillId="0" fontId="4" numFmtId="0" xfId="0" applyAlignment="1" applyBorder="1" applyFont="1">
      <alignment horizontal="center" readingOrder="0"/>
    </xf>
    <xf borderId="19" fillId="0" fontId="1" numFmtId="0" xfId="0" applyAlignment="1" applyBorder="1" applyFont="1">
      <alignment horizontal="center" vertical="bottom"/>
    </xf>
    <xf borderId="19" fillId="0" fontId="1" numFmtId="0" xfId="0" applyAlignment="1" applyBorder="1" applyFont="1">
      <alignment horizontal="center"/>
    </xf>
    <xf borderId="21" fillId="0" fontId="1" numFmtId="0" xfId="0" applyAlignment="1" applyBorder="1" applyFont="1">
      <alignment horizontal="center"/>
    </xf>
    <xf borderId="24" fillId="0" fontId="4" numFmtId="0" xfId="0" applyAlignment="1" applyBorder="1" applyFont="1">
      <alignment horizontal="center" readingOrder="0"/>
    </xf>
    <xf borderId="17" fillId="1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/>
    </xf>
    <xf borderId="19" fillId="17" fontId="1" numFmtId="0" xfId="0" applyAlignment="1" applyBorder="1" applyFill="1" applyFont="1">
      <alignment horizontal="center" readingOrder="0"/>
    </xf>
    <xf borderId="19" fillId="18" fontId="1" numFmtId="0" xfId="0" applyAlignment="1" applyBorder="1" applyFill="1" applyFont="1">
      <alignment horizontal="center" readingOrder="0"/>
    </xf>
    <xf borderId="19" fillId="14" fontId="1" numFmtId="0" xfId="0" applyAlignment="1" applyBorder="1" applyFont="1">
      <alignment horizontal="center" readingOrder="0"/>
    </xf>
    <xf borderId="19" fillId="19" fontId="1" numFmtId="0" xfId="0" applyAlignment="1" applyBorder="1" applyFill="1" applyFont="1">
      <alignment horizontal="center" readingOrder="0"/>
    </xf>
    <xf borderId="17" fillId="0" fontId="1" numFmtId="164" xfId="0" applyAlignment="1" applyBorder="1" applyFont="1" applyNumberFormat="1">
      <alignment horizontal="center"/>
    </xf>
    <xf borderId="25" fillId="0" fontId="1" numFmtId="0" xfId="0" applyAlignment="1" applyBorder="1" applyFont="1">
      <alignment horizontal="center"/>
    </xf>
    <xf borderId="3" fillId="0" fontId="7" numFmtId="0" xfId="0" applyBorder="1" applyFont="1"/>
    <xf borderId="19" fillId="20" fontId="1" numFmtId="0" xfId="0" applyAlignment="1" applyBorder="1" applyFill="1" applyFont="1">
      <alignment horizontal="center" readingOrder="0"/>
    </xf>
    <xf borderId="1" fillId="0" fontId="10" numFmtId="0" xfId="0" applyAlignment="1" applyBorder="1" applyFont="1">
      <alignment horizontal="center"/>
    </xf>
    <xf borderId="15" fillId="21" fontId="11" numFmtId="0" xfId="0" applyAlignment="1" applyBorder="1" applyFill="1" applyFont="1">
      <alignment horizontal="center" readingOrder="0"/>
    </xf>
    <xf borderId="19" fillId="22" fontId="5" numFmtId="0" xfId="0" applyAlignment="1" applyBorder="1" applyFill="1" applyFont="1">
      <alignment horizontal="center"/>
    </xf>
    <xf borderId="19" fillId="22" fontId="5" numFmtId="0" xfId="0" applyAlignment="1" applyBorder="1" applyFont="1">
      <alignment horizontal="center" readingOrder="0"/>
    </xf>
    <xf borderId="19" fillId="0" fontId="5" numFmtId="0" xfId="0" applyAlignment="1" applyBorder="1" applyFont="1">
      <alignment horizontal="center" readingOrder="0"/>
    </xf>
    <xf borderId="19" fillId="0" fontId="1" numFmtId="170" xfId="0" applyAlignment="1" applyBorder="1" applyFont="1" applyNumberFormat="1">
      <alignment horizontal="center" readingOrder="0"/>
    </xf>
    <xf borderId="19" fillId="0" fontId="1" numFmtId="170" xfId="0" applyAlignment="1" applyBorder="1" applyFont="1" applyNumberFormat="1">
      <alignment horizontal="center"/>
    </xf>
    <xf borderId="19" fillId="14" fontId="5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/>
    </xf>
    <xf borderId="4" fillId="0" fontId="12" numFmtId="0" xfId="0" applyAlignment="1" applyBorder="1" applyFont="1">
      <alignment horizontal="center" readingOrder="0" vertical="center"/>
    </xf>
    <xf borderId="19" fillId="22" fontId="1" numFmtId="0" xfId="0" applyAlignment="1" applyBorder="1" applyFont="1">
      <alignment horizontal="center" readingOrder="0"/>
    </xf>
    <xf borderId="19" fillId="22" fontId="5" numFmtId="164" xfId="0" applyAlignment="1" applyBorder="1" applyFont="1" applyNumberFormat="1">
      <alignment horizontal="center"/>
    </xf>
    <xf borderId="19" fillId="22" fontId="1" numFmtId="164" xfId="0" applyAlignment="1" applyBorder="1" applyFont="1" applyNumberFormat="1">
      <alignment horizontal="center"/>
    </xf>
    <xf borderId="19" fillId="22" fontId="1" numFmtId="10" xfId="0" applyAlignment="1" applyBorder="1" applyFont="1" applyNumberFormat="1">
      <alignment horizontal="center"/>
    </xf>
    <xf borderId="2" fillId="0" fontId="1" numFmtId="0" xfId="0" applyAlignment="1" applyBorder="1" applyFont="1">
      <alignment horizontal="center" readingOrder="0"/>
    </xf>
    <xf borderId="19" fillId="10" fontId="1" numFmtId="0" xfId="0" applyAlignment="1" applyBorder="1" applyFont="1">
      <alignment horizontal="center" readingOrder="0"/>
    </xf>
    <xf borderId="21" fillId="23" fontId="5" numFmtId="0" xfId="0" applyAlignment="1" applyBorder="1" applyFill="1" applyFont="1">
      <alignment horizontal="center" readingOrder="0" vertical="center"/>
    </xf>
    <xf borderId="26" fillId="0" fontId="3" numFmtId="0" xfId="0" applyBorder="1" applyFont="1"/>
    <xf borderId="21" fillId="10" fontId="1" numFmtId="0" xfId="0" applyAlignment="1" applyBorder="1" applyFont="1">
      <alignment horizontal="center" readingOrder="0" vertical="center"/>
    </xf>
    <xf borderId="20" fillId="0" fontId="3" numFmtId="0" xfId="0" applyBorder="1" applyFont="1"/>
    <xf borderId="21" fillId="0" fontId="1" numFmtId="164" xfId="0" applyAlignment="1" applyBorder="1" applyFont="1" applyNumberFormat="1">
      <alignment horizontal="center" readingOrder="0"/>
    </xf>
    <xf borderId="21" fillId="0" fontId="1" numFmtId="164" xfId="0" applyAlignment="1" applyBorder="1" applyFont="1" applyNumberFormat="1">
      <alignment horizontal="center"/>
    </xf>
    <xf borderId="11" fillId="0" fontId="1" numFmtId="0" xfId="0" applyAlignment="1" applyBorder="1" applyFont="1">
      <alignment horizontal="center"/>
    </xf>
    <xf borderId="19" fillId="24" fontId="1" numFmtId="0" xfId="0" applyAlignment="1" applyBorder="1" applyFill="1" applyFont="1">
      <alignment horizontal="center" readingOrder="0"/>
    </xf>
    <xf borderId="15" fillId="24" fontId="1" numFmtId="164" xfId="0" applyAlignment="1" applyBorder="1" applyFont="1" applyNumberFormat="1">
      <alignment horizontal="center"/>
    </xf>
    <xf borderId="27" fillId="0" fontId="7" numFmtId="0" xfId="0" applyBorder="1" applyFont="1"/>
    <xf borderId="22" fillId="0" fontId="7" numFmtId="0" xfId="0" applyBorder="1" applyFont="1"/>
    <xf borderId="19" fillId="13" fontId="1" numFmtId="0" xfId="0" applyAlignment="1" applyBorder="1" applyFont="1">
      <alignment horizontal="center" readingOrder="0"/>
    </xf>
    <xf borderId="19" fillId="13" fontId="1" numFmtId="49" xfId="0" applyAlignment="1" applyBorder="1" applyFont="1" applyNumberFormat="1">
      <alignment horizontal="center" readingOrder="0"/>
    </xf>
    <xf borderId="15" fillId="24" fontId="1" numFmtId="164" xfId="0" applyAlignment="1" applyBorder="1" applyFont="1" applyNumberFormat="1">
      <alignment horizontal="center" readingOrder="0"/>
    </xf>
    <xf borderId="28" fillId="0" fontId="7" numFmtId="0" xfId="0" applyBorder="1" applyFont="1"/>
    <xf borderId="15" fillId="20" fontId="1" numFmtId="10" xfId="0" applyAlignment="1" applyBorder="1" applyFont="1" applyNumberFormat="1">
      <alignment horizontal="center"/>
    </xf>
  </cellXfs>
  <cellStyles count="1">
    <cellStyle xfId="0" name="Normal" builtinId="0"/>
  </cellStyles>
  <dxfs count="3">
    <dxf>
      <font>
        <strike/>
      </font>
      <fill>
        <patternFill patternType="solid">
          <fgColor rgb="FFBEF2A4"/>
          <bgColor rgb="FFBEF2A4"/>
        </patternFill>
      </fill>
      <border/>
    </dxf>
    <dxf>
      <font>
        <color rgb="FF000000"/>
      </font>
      <fill>
        <patternFill patternType="solid">
          <fgColor rgb="FFBEF2A4"/>
          <bgColor rgb="FFBEF2A4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F6B26B"/>
                </a:solidFill>
                <a:latin typeface="Arial black"/>
              </a:defRPr>
            </a:pPr>
            <a:r>
              <a:rPr b="0" sz="2400">
                <a:solidFill>
                  <a:srgbClr val="F6B26B"/>
                </a:solidFill>
                <a:latin typeface="Arial black"/>
              </a:rPr>
              <a:t>Painel Geral 2025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'Painel Geral'!$L$4</c:f>
            </c:strRef>
          </c:tx>
          <c:spPr>
            <a:ln cmpd="sng">
              <a:solidFill>
                <a:schemeClr val="accent4"/>
              </a:solidFill>
              <a:prstDash val="solid"/>
            </a:ln>
          </c:spPr>
          <c:marker>
            <c:symbol val="circle"/>
            <c:size val="10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 Geral'!$K$5:$K$8</c:f>
            </c:strRef>
          </c:cat>
          <c:val>
            <c:numRef>
              <c:f>'Painel Geral'!$L$5:$L$8</c:f>
              <c:numCache/>
            </c:numRef>
          </c:val>
          <c:smooth val="1"/>
        </c:ser>
        <c:ser>
          <c:idx val="1"/>
          <c:order val="1"/>
          <c:tx>
            <c:strRef>
              <c:f>'Painel Geral'!$M$4</c:f>
            </c:strRef>
          </c:tx>
          <c:spPr>
            <a:ln cmpd="sng">
              <a:solidFill>
                <a:schemeClr val="accent5"/>
              </a:solidFill>
              <a:prstDash val="solid"/>
            </a:ln>
          </c:spPr>
          <c:marker>
            <c:symbol val="circle"/>
            <c:size val="10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 Geral'!$K$5:$K$8</c:f>
            </c:strRef>
          </c:cat>
          <c:val>
            <c:numRef>
              <c:f>'Painel Geral'!$M$5:$M$8</c:f>
              <c:numCache/>
            </c:numRef>
          </c:val>
          <c:smooth val="1"/>
        </c:ser>
        <c:axId val="512494506"/>
        <c:axId val="1752166066"/>
      </c:lineChart>
      <c:catAx>
        <c:axId val="5124945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752166066"/>
      </c:catAx>
      <c:valAx>
        <c:axId val="1752166066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512494506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Arial black"/>
              </a:defRPr>
            </a:pPr>
            <a:r>
              <a:rPr b="0" sz="2000">
                <a:solidFill>
                  <a:srgbClr val="000000"/>
                </a:solidFill>
                <a:latin typeface="Arial black"/>
              </a:rPr>
              <a:t>Painel Geral 2025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'Painel Geral'!$K$5</c:f>
            </c:strRef>
          </c:tx>
          <c:spPr>
            <a:solidFill>
              <a:srgbClr val="57BB8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200"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 Geral'!$L$4:$M$4</c:f>
            </c:strRef>
          </c:cat>
          <c:val>
            <c:numRef>
              <c:f>'Painel Geral'!$L$5:$M$5</c:f>
              <c:numCache/>
            </c:numRef>
          </c:val>
        </c:ser>
        <c:ser>
          <c:idx val="1"/>
          <c:order val="1"/>
          <c:tx>
            <c:strRef>
              <c:f>'Painel Geral'!$K$6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200">
                    <a:latin typeface="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 Geral'!$L$4:$M$4</c:f>
            </c:strRef>
          </c:cat>
          <c:val>
            <c:numRef>
              <c:f>'Painel Geral'!$L$6:$M$6</c:f>
              <c:numCache/>
            </c:numRef>
          </c:val>
        </c:ser>
        <c:ser>
          <c:idx val="2"/>
          <c:order val="2"/>
          <c:tx>
            <c:strRef>
              <c:f>'Painel Geral'!$K$7</c:f>
            </c:strRef>
          </c:tx>
          <c:spPr>
            <a:solidFill>
              <a:srgbClr val="F7EE89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200">
                    <a:latin typeface="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 Geral'!$L$4:$M$4</c:f>
            </c:strRef>
          </c:cat>
          <c:val>
            <c:numRef>
              <c:f>'Painel Geral'!$L$7:$M$7</c:f>
              <c:numCache/>
            </c:numRef>
          </c:val>
        </c:ser>
        <c:ser>
          <c:idx val="3"/>
          <c:order val="3"/>
          <c:tx>
            <c:strRef>
              <c:f>'Painel Geral'!$K$8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b="0" i="0" sz="1200">
                    <a:latin typeface="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 Geral'!$L$4:$M$4</c:f>
            </c:strRef>
          </c:cat>
          <c:val>
            <c:numRef>
              <c:f>'Painel Geral'!$L$8:$M$8</c:f>
              <c:numCache/>
            </c:numRef>
          </c:val>
        </c:ser>
        <c:axId val="349008710"/>
        <c:axId val="1482168713"/>
      </c:barChart>
      <c:catAx>
        <c:axId val="34900871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200">
                <a:solidFill>
                  <a:schemeClr val="dk1"/>
                </a:solidFill>
                <a:latin typeface="+mn-lt"/>
              </a:defRPr>
            </a:pPr>
          </a:p>
        </c:txPr>
        <c:crossAx val="1482168713"/>
      </c:catAx>
      <c:valAx>
        <c:axId val="148216871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_([$R$ -416]* #,##0.00_);_([$R$ -416]* \(#,##0.00\);_([$R$ -416]* &quot;-&quot;??_);_(@_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900871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Relationship Id="rId2" Type="http://schemas.openxmlformats.org/officeDocument/2006/relationships/image" Target="../media/Chart5.png"/><Relationship Id="rId3" Type="http://schemas.openxmlformats.org/officeDocument/2006/relationships/image" Target="../media/Chart6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7.png"/><Relationship Id="rId2" Type="http://schemas.openxmlformats.org/officeDocument/2006/relationships/image" Target="../media/Chart8.png"/><Relationship Id="rId3" Type="http://schemas.openxmlformats.org/officeDocument/2006/relationships/image" Target="../media/Chart9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7.png"/><Relationship Id="rId2" Type="http://schemas.openxmlformats.org/officeDocument/2006/relationships/image" Target="../media/Chart8.png"/><Relationship Id="rId3" Type="http://schemas.openxmlformats.org/officeDocument/2006/relationships/image" Target="../media/Chart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933450</xdr:colOff>
      <xdr:row>22</xdr:row>
      <xdr:rowOff>190500</xdr:rowOff>
    </xdr:from>
    <xdr:ext cx="4467225" cy="2771775"/>
    <xdr:pic>
      <xdr:nvPicPr>
        <xdr:cNvPr id="1320064128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438150</xdr:colOff>
      <xdr:row>72</xdr:row>
      <xdr:rowOff>47625</xdr:rowOff>
    </xdr:from>
    <xdr:ext cx="9544050" cy="5915025"/>
    <xdr:pic>
      <xdr:nvPicPr>
        <xdr:cNvPr id="1245471134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438150</xdr:colOff>
      <xdr:row>40</xdr:row>
      <xdr:rowOff>66675</xdr:rowOff>
    </xdr:from>
    <xdr:ext cx="9544050" cy="5915025"/>
    <xdr:pic>
      <xdr:nvPicPr>
        <xdr:cNvPr id="760060106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533400</xdr:colOff>
      <xdr:row>22</xdr:row>
      <xdr:rowOff>161925</xdr:rowOff>
    </xdr:from>
    <xdr:ext cx="4181475" cy="2590800"/>
    <xdr:pic>
      <xdr:nvPicPr>
        <xdr:cNvPr id="1362644371" name="Chart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1266825</xdr:colOff>
      <xdr:row>66</xdr:row>
      <xdr:rowOff>85725</xdr:rowOff>
    </xdr:from>
    <xdr:ext cx="5924550" cy="3676650"/>
    <xdr:pic>
      <xdr:nvPicPr>
        <xdr:cNvPr id="1118970558" name="Chart5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37</xdr:row>
      <xdr:rowOff>171450</xdr:rowOff>
    </xdr:from>
    <xdr:ext cx="8382000" cy="5200650"/>
    <xdr:pic>
      <xdr:nvPicPr>
        <xdr:cNvPr id="1476508894" name="Chart6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533400</xdr:colOff>
      <xdr:row>22</xdr:row>
      <xdr:rowOff>161925</xdr:rowOff>
    </xdr:from>
    <xdr:ext cx="4181475" cy="2590800"/>
    <xdr:pic>
      <xdr:nvPicPr>
        <xdr:cNvPr id="1776386246" name="Chart7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63</xdr:row>
      <xdr:rowOff>19050</xdr:rowOff>
    </xdr:from>
    <xdr:ext cx="4933950" cy="3067050"/>
    <xdr:pic>
      <xdr:nvPicPr>
        <xdr:cNvPr id="652693463" name="Chart8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428625</xdr:colOff>
      <xdr:row>98</xdr:row>
      <xdr:rowOff>180975</xdr:rowOff>
    </xdr:from>
    <xdr:ext cx="7391400" cy="4581525"/>
    <xdr:pic>
      <xdr:nvPicPr>
        <xdr:cNvPr id="724261121" name="Chart9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533400</xdr:colOff>
      <xdr:row>22</xdr:row>
      <xdr:rowOff>161925</xdr:rowOff>
    </xdr:from>
    <xdr:ext cx="4181475" cy="2590800"/>
    <xdr:pic>
      <xdr:nvPicPr>
        <xdr:cNvPr id="703639862" name="Chart10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63</xdr:row>
      <xdr:rowOff>19050</xdr:rowOff>
    </xdr:from>
    <xdr:ext cx="4933950" cy="3067050"/>
    <xdr:pic>
      <xdr:nvPicPr>
        <xdr:cNvPr id="678912611" name="Chart1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428625</xdr:colOff>
      <xdr:row>98</xdr:row>
      <xdr:rowOff>180975</xdr:rowOff>
    </xdr:from>
    <xdr:ext cx="7391400" cy="4581525"/>
    <xdr:pic>
      <xdr:nvPicPr>
        <xdr:cNvPr id="1531937738" name="Chart1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676275</xdr:colOff>
      <xdr:row>0</xdr:row>
      <xdr:rowOff>0</xdr:rowOff>
    </xdr:from>
    <xdr:ext cx="8496300" cy="4676775"/>
    <xdr:graphicFrame>
      <xdr:nvGraphicFramePr>
        <xdr:cNvPr id="13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533400</xdr:colOff>
      <xdr:row>25</xdr:row>
      <xdr:rowOff>180975</xdr:rowOff>
    </xdr:from>
    <xdr:ext cx="10020300" cy="4486275"/>
    <xdr:graphicFrame>
      <xdr:nvGraphicFramePr>
        <xdr:cNvPr id="14" name="Chart 1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7.88"/>
    <col customWidth="1" min="3" max="3" width="23.25"/>
    <col customWidth="1" min="4" max="4" width="12.13"/>
    <col customWidth="1" min="5" max="5" width="11.13"/>
    <col customWidth="1" min="7" max="7" width="8.0"/>
    <col customWidth="1" min="8" max="8" width="21.0"/>
    <col customWidth="1" min="9" max="9" width="14.13"/>
    <col customWidth="1" min="10" max="11" width="9.75"/>
    <col customWidth="1" min="13" max="13" width="10.75"/>
    <col customWidth="1" min="14" max="14" width="20.25"/>
    <col customWidth="1" min="15" max="15" width="13.63"/>
    <col customWidth="1" min="16" max="16" width="7.75"/>
    <col customWidth="1" min="17" max="17" width="11.13"/>
    <col customWidth="1" min="18" max="18" width="10.88"/>
  </cols>
  <sheetData>
    <row r="1">
      <c r="A1" s="1"/>
      <c r="B1" s="2"/>
      <c r="C1" s="2"/>
      <c r="D1" s="2"/>
      <c r="E1" s="2"/>
      <c r="F1" s="2"/>
      <c r="G1" s="3"/>
      <c r="H1" s="3"/>
      <c r="I1" s="3"/>
      <c r="J1" s="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2"/>
      <c r="B2" s="2"/>
      <c r="C2" s="2"/>
      <c r="D2" s="2"/>
      <c r="E2" s="2"/>
      <c r="F2" s="4"/>
      <c r="G2" s="5" t="s">
        <v>0</v>
      </c>
      <c r="H2" s="6"/>
      <c r="I2" s="7"/>
      <c r="J2" s="8"/>
      <c r="K2" s="9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2"/>
      <c r="B3" s="2"/>
      <c r="C3" s="2"/>
      <c r="D3" s="2"/>
      <c r="E3" s="2"/>
      <c r="F3" s="4"/>
      <c r="G3" s="10"/>
      <c r="I3" s="11"/>
      <c r="J3" s="8"/>
      <c r="K3" s="9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2"/>
      <c r="B4" s="2"/>
      <c r="C4" s="2"/>
      <c r="D4" s="2"/>
      <c r="E4" s="2"/>
      <c r="F4" s="4"/>
      <c r="G4" s="12"/>
      <c r="H4" s="13"/>
      <c r="I4" s="14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2"/>
      <c r="B5" s="2"/>
      <c r="C5" s="2"/>
      <c r="D5" s="2"/>
      <c r="E5" s="2"/>
      <c r="F5" s="2"/>
      <c r="G5" s="15"/>
      <c r="H5" s="15"/>
      <c r="I5" s="15"/>
      <c r="J5" s="15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2"/>
      <c r="B6" s="3"/>
      <c r="C6" s="3"/>
      <c r="D6" s="3"/>
      <c r="E6" s="3"/>
      <c r="F6" s="2"/>
      <c r="G6" s="3"/>
      <c r="H6" s="3"/>
      <c r="I6" s="3"/>
      <c r="J6" s="3"/>
      <c r="K6" s="3"/>
      <c r="L6" s="2"/>
      <c r="M6" s="3"/>
      <c r="N6" s="3"/>
      <c r="O6" s="3"/>
      <c r="P6" s="3"/>
      <c r="Q6" s="3"/>
      <c r="R6" s="3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4"/>
      <c r="B7" s="16" t="s">
        <v>1</v>
      </c>
      <c r="C7" s="17"/>
      <c r="D7" s="17"/>
      <c r="E7" s="18"/>
      <c r="F7" s="9"/>
      <c r="G7" s="19" t="s">
        <v>2</v>
      </c>
      <c r="H7" s="17"/>
      <c r="I7" s="17"/>
      <c r="J7" s="17"/>
      <c r="K7" s="18"/>
      <c r="L7" s="20"/>
      <c r="M7" s="21" t="s">
        <v>3</v>
      </c>
      <c r="N7" s="17"/>
      <c r="O7" s="17"/>
      <c r="P7" s="17"/>
      <c r="Q7" s="17"/>
      <c r="R7" s="18"/>
      <c r="S7" s="9"/>
      <c r="T7" s="22" t="s">
        <v>4</v>
      </c>
      <c r="U7" s="17"/>
      <c r="V7" s="17"/>
      <c r="W7" s="17"/>
      <c r="X7" s="17"/>
      <c r="Y7" s="17"/>
      <c r="Z7" s="18"/>
      <c r="AA7" s="23"/>
      <c r="AB7" s="24"/>
      <c r="AC7" s="24"/>
    </row>
    <row r="8">
      <c r="A8" s="4"/>
      <c r="B8" s="25" t="s">
        <v>5</v>
      </c>
      <c r="C8" s="26" t="s">
        <v>6</v>
      </c>
      <c r="D8" s="27" t="s">
        <v>7</v>
      </c>
      <c r="E8" s="26" t="s">
        <v>8</v>
      </c>
      <c r="F8" s="9"/>
      <c r="G8" s="28" t="s">
        <v>5</v>
      </c>
      <c r="H8" s="28" t="s">
        <v>6</v>
      </c>
      <c r="I8" s="28" t="s">
        <v>9</v>
      </c>
      <c r="J8" s="29" t="s">
        <v>7</v>
      </c>
      <c r="K8" s="28" t="s">
        <v>8</v>
      </c>
      <c r="L8" s="20"/>
      <c r="M8" s="30" t="s">
        <v>5</v>
      </c>
      <c r="N8" s="30" t="s">
        <v>6</v>
      </c>
      <c r="O8" s="30" t="s">
        <v>9</v>
      </c>
      <c r="P8" s="31" t="s">
        <v>10</v>
      </c>
      <c r="Q8" s="31" t="s">
        <v>7</v>
      </c>
      <c r="R8" s="30" t="s">
        <v>8</v>
      </c>
      <c r="S8" s="9"/>
      <c r="T8" s="32" t="s">
        <v>5</v>
      </c>
      <c r="U8" s="32" t="s">
        <v>9</v>
      </c>
      <c r="V8" s="33" t="s">
        <v>7</v>
      </c>
      <c r="W8" s="32" t="s">
        <v>11</v>
      </c>
      <c r="X8" s="32" t="s">
        <v>12</v>
      </c>
      <c r="Y8" s="32" t="s">
        <v>13</v>
      </c>
      <c r="Z8" s="32" t="s">
        <v>14</v>
      </c>
      <c r="AA8" s="34"/>
      <c r="AB8" s="35"/>
      <c r="AC8" s="35"/>
    </row>
    <row r="9">
      <c r="A9" s="4"/>
      <c r="B9" s="36" t="s">
        <v>15</v>
      </c>
      <c r="C9" s="37" t="s">
        <v>16</v>
      </c>
      <c r="D9" s="38">
        <v>88.0</v>
      </c>
      <c r="E9" s="37" t="s">
        <v>17</v>
      </c>
      <c r="F9" s="9"/>
      <c r="G9" s="39">
        <v>45919.0</v>
      </c>
      <c r="H9" s="37" t="s">
        <v>18</v>
      </c>
      <c r="I9" s="37" t="s">
        <v>19</v>
      </c>
      <c r="J9" s="38">
        <v>34.99</v>
      </c>
      <c r="K9" s="37" t="s">
        <v>17</v>
      </c>
      <c r="L9" s="20"/>
      <c r="M9" s="40">
        <v>45751.0</v>
      </c>
      <c r="N9" s="37" t="s">
        <v>20</v>
      </c>
      <c r="O9" s="37" t="s">
        <v>16</v>
      </c>
      <c r="P9" s="41">
        <v>45907.0</v>
      </c>
      <c r="Q9" s="38">
        <v>99.99</v>
      </c>
      <c r="R9" s="37" t="s">
        <v>21</v>
      </c>
      <c r="S9" s="9"/>
      <c r="T9" s="41">
        <v>45947.0</v>
      </c>
      <c r="U9" s="37" t="s">
        <v>22</v>
      </c>
      <c r="V9" s="38">
        <v>10000.0</v>
      </c>
      <c r="W9" s="42"/>
      <c r="X9" s="38" t="s">
        <v>23</v>
      </c>
      <c r="Y9" s="43">
        <f>(V9:V97/Z9:Z97)</f>
        <v>0.4</v>
      </c>
      <c r="Z9" s="38">
        <v>25000.0</v>
      </c>
      <c r="AA9" s="44"/>
      <c r="AB9" s="45"/>
      <c r="AC9" s="45"/>
    </row>
    <row r="10">
      <c r="A10" s="4"/>
      <c r="B10" s="36" t="s">
        <v>24</v>
      </c>
      <c r="C10" s="37" t="s">
        <v>16</v>
      </c>
      <c r="D10" s="38">
        <v>104.9</v>
      </c>
      <c r="E10" s="37" t="s">
        <v>17</v>
      </c>
      <c r="F10" s="9"/>
      <c r="G10" s="39">
        <v>45925.0</v>
      </c>
      <c r="H10" s="37" t="s">
        <v>25</v>
      </c>
      <c r="I10" s="37" t="s">
        <v>19</v>
      </c>
      <c r="J10" s="38">
        <v>34.9</v>
      </c>
      <c r="K10" s="37" t="s">
        <v>17</v>
      </c>
      <c r="L10" s="20"/>
      <c r="M10" s="40">
        <v>45804.0</v>
      </c>
      <c r="N10" s="37" t="s">
        <v>26</v>
      </c>
      <c r="O10" s="37" t="s">
        <v>27</v>
      </c>
      <c r="P10" s="41">
        <v>45782.0</v>
      </c>
      <c r="Q10" s="38">
        <v>46.78</v>
      </c>
      <c r="R10" s="37" t="s">
        <v>21</v>
      </c>
      <c r="S10" s="9"/>
      <c r="T10" s="41">
        <v>45950.0</v>
      </c>
      <c r="U10" s="37" t="s">
        <v>28</v>
      </c>
      <c r="V10" s="38">
        <v>3200.0</v>
      </c>
      <c r="W10" s="42"/>
      <c r="X10" s="46">
        <v>46447.0</v>
      </c>
      <c r="Y10" s="43">
        <f>(V9:V97/Z9:Z97)</f>
        <v>0.064</v>
      </c>
      <c r="Z10" s="38">
        <v>50000.0</v>
      </c>
      <c r="AA10" s="44"/>
      <c r="AB10" s="45"/>
      <c r="AC10" s="45"/>
    </row>
    <row r="11">
      <c r="A11" s="4"/>
      <c r="B11" s="36" t="s">
        <v>24</v>
      </c>
      <c r="C11" s="37" t="s">
        <v>29</v>
      </c>
      <c r="D11" s="38">
        <v>640.0</v>
      </c>
      <c r="E11" s="37" t="s">
        <v>17</v>
      </c>
      <c r="F11" s="9"/>
      <c r="G11" s="39">
        <v>45926.0</v>
      </c>
      <c r="H11" s="37" t="s">
        <v>30</v>
      </c>
      <c r="I11" s="37" t="s">
        <v>31</v>
      </c>
      <c r="J11" s="38">
        <v>85.0</v>
      </c>
      <c r="K11" s="37" t="s">
        <v>17</v>
      </c>
      <c r="L11" s="20"/>
      <c r="M11" s="40">
        <v>45857.0</v>
      </c>
      <c r="N11" s="37" t="s">
        <v>32</v>
      </c>
      <c r="O11" s="37" t="s">
        <v>27</v>
      </c>
      <c r="P11" s="41">
        <v>45719.0</v>
      </c>
      <c r="Q11" s="38">
        <v>95.08</v>
      </c>
      <c r="R11" s="37" t="s">
        <v>17</v>
      </c>
      <c r="S11" s="9"/>
      <c r="T11" s="41">
        <v>45950.0</v>
      </c>
      <c r="U11" s="37" t="s">
        <v>33</v>
      </c>
      <c r="V11" s="38">
        <v>1000.0</v>
      </c>
      <c r="W11" s="42"/>
      <c r="X11" s="46">
        <v>46023.0</v>
      </c>
      <c r="Y11" s="43">
        <f>(V9:V97/Z9:Z97)</f>
        <v>0.1538461538</v>
      </c>
      <c r="Z11" s="38">
        <v>6500.0</v>
      </c>
      <c r="AA11" s="44"/>
      <c r="AB11" s="45"/>
      <c r="AC11" s="45"/>
    </row>
    <row r="12">
      <c r="A12" s="4"/>
      <c r="B12" s="36" t="s">
        <v>34</v>
      </c>
      <c r="C12" s="37" t="s">
        <v>35</v>
      </c>
      <c r="D12" s="38">
        <v>1988.0</v>
      </c>
      <c r="E12" s="37" t="s">
        <v>17</v>
      </c>
      <c r="F12" s="9"/>
      <c r="G12" s="39">
        <v>45936.0</v>
      </c>
      <c r="H12" s="37" t="s">
        <v>36</v>
      </c>
      <c r="I12" s="37" t="s">
        <v>37</v>
      </c>
      <c r="J12" s="38">
        <v>15.95</v>
      </c>
      <c r="K12" s="37" t="s">
        <v>38</v>
      </c>
      <c r="L12" s="20"/>
      <c r="M12" s="40">
        <v>45891.0</v>
      </c>
      <c r="N12" s="37" t="s">
        <v>39</v>
      </c>
      <c r="O12" s="37" t="s">
        <v>19</v>
      </c>
      <c r="P12" s="41">
        <v>45718.0</v>
      </c>
      <c r="Q12" s="38">
        <v>390.22</v>
      </c>
      <c r="R12" s="37" t="s">
        <v>17</v>
      </c>
      <c r="S12" s="20"/>
      <c r="T12" s="41">
        <v>45950.0</v>
      </c>
      <c r="U12" s="37" t="s">
        <v>40</v>
      </c>
      <c r="V12" s="38">
        <v>1000.0</v>
      </c>
      <c r="W12" s="42"/>
      <c r="X12" s="47">
        <v>45992.0</v>
      </c>
      <c r="Y12" s="48">
        <f>(V9:V97/Z9:Z97)</f>
        <v>0.2</v>
      </c>
      <c r="Z12" s="38">
        <v>5000.0</v>
      </c>
      <c r="AA12" s="44"/>
      <c r="AB12" s="45"/>
      <c r="AC12" s="45"/>
    </row>
    <row r="13">
      <c r="A13" s="4"/>
      <c r="B13" s="36" t="s">
        <v>34</v>
      </c>
      <c r="C13" s="37" t="s">
        <v>41</v>
      </c>
      <c r="D13" s="38">
        <v>3199.11</v>
      </c>
      <c r="E13" s="37" t="s">
        <v>21</v>
      </c>
      <c r="F13" s="9"/>
      <c r="G13" s="39">
        <v>45937.0</v>
      </c>
      <c r="H13" s="37" t="s">
        <v>42</v>
      </c>
      <c r="I13" s="37" t="s">
        <v>43</v>
      </c>
      <c r="J13" s="38">
        <v>282.4</v>
      </c>
      <c r="K13" s="37" t="s">
        <v>44</v>
      </c>
      <c r="L13" s="20"/>
      <c r="M13" s="40">
        <v>45894.0</v>
      </c>
      <c r="N13" s="37" t="s">
        <v>45</v>
      </c>
      <c r="O13" s="37" t="s">
        <v>46</v>
      </c>
      <c r="P13" s="41">
        <v>45690.0</v>
      </c>
      <c r="Q13" s="38">
        <v>54.75</v>
      </c>
      <c r="R13" s="37" t="s">
        <v>17</v>
      </c>
      <c r="S13" s="20"/>
      <c r="T13" s="49"/>
      <c r="U13" s="50" t="s">
        <v>47</v>
      </c>
      <c r="V13" s="51">
        <f>SUM(V9:V12)</f>
        <v>15200</v>
      </c>
      <c r="W13" s="52"/>
      <c r="X13" s="52"/>
      <c r="Y13" s="53">
        <f>(V9:V97/Z9:Z97)</f>
        <v>0.1757225434</v>
      </c>
      <c r="Z13" s="52">
        <f>SUM(Z9:Z12)</f>
        <v>86500</v>
      </c>
      <c r="AA13" s="54"/>
      <c r="AB13" s="55"/>
      <c r="AC13" s="55"/>
    </row>
    <row r="14">
      <c r="A14" s="4"/>
      <c r="B14" s="36" t="s">
        <v>48</v>
      </c>
      <c r="C14" s="37" t="s">
        <v>16</v>
      </c>
      <c r="D14" s="38">
        <v>79.72</v>
      </c>
      <c r="E14" s="37" t="s">
        <v>17</v>
      </c>
      <c r="F14" s="9"/>
      <c r="G14" s="39">
        <v>45938.0</v>
      </c>
      <c r="H14" s="37" t="s">
        <v>49</v>
      </c>
      <c r="I14" s="37" t="s">
        <v>50</v>
      </c>
      <c r="J14" s="38">
        <v>148.92</v>
      </c>
      <c r="K14" s="37" t="s">
        <v>17</v>
      </c>
      <c r="L14" s="20"/>
      <c r="M14" s="40">
        <v>45905.0</v>
      </c>
      <c r="N14" s="37" t="s">
        <v>51</v>
      </c>
      <c r="O14" s="37" t="s">
        <v>16</v>
      </c>
      <c r="P14" s="41">
        <v>45902.0</v>
      </c>
      <c r="Q14" s="38">
        <v>100.07</v>
      </c>
      <c r="R14" s="37" t="s">
        <v>17</v>
      </c>
      <c r="S14" s="9"/>
      <c r="T14" s="15"/>
      <c r="U14" s="15"/>
      <c r="V14" s="56"/>
      <c r="W14" s="56"/>
      <c r="X14" s="56"/>
      <c r="Y14" s="57"/>
      <c r="Z14" s="56"/>
      <c r="AA14" s="54"/>
      <c r="AB14" s="55"/>
      <c r="AC14" s="55"/>
    </row>
    <row r="15">
      <c r="A15" s="4"/>
      <c r="B15" s="36" t="s">
        <v>52</v>
      </c>
      <c r="C15" s="37" t="s">
        <v>16</v>
      </c>
      <c r="D15" s="38">
        <v>60.0</v>
      </c>
      <c r="E15" s="37" t="s">
        <v>17</v>
      </c>
      <c r="F15" s="9"/>
      <c r="G15" s="41">
        <v>45942.0</v>
      </c>
      <c r="H15" s="37" t="s">
        <v>53</v>
      </c>
      <c r="I15" s="37" t="s">
        <v>19</v>
      </c>
      <c r="J15" s="38">
        <v>69.9</v>
      </c>
      <c r="K15" s="37" t="s">
        <v>17</v>
      </c>
      <c r="L15" s="20"/>
      <c r="M15" s="40">
        <v>45905.0</v>
      </c>
      <c r="N15" s="37" t="s">
        <v>54</v>
      </c>
      <c r="O15" s="37" t="s">
        <v>55</v>
      </c>
      <c r="P15" s="41">
        <v>45718.0</v>
      </c>
      <c r="Q15" s="38">
        <v>112.32</v>
      </c>
      <c r="R15" s="37" t="s">
        <v>17</v>
      </c>
      <c r="S15" s="9"/>
      <c r="T15" s="2"/>
      <c r="U15" s="2"/>
      <c r="V15" s="55"/>
      <c r="W15" s="55"/>
      <c r="X15" s="55"/>
      <c r="Y15" s="58"/>
      <c r="Z15" s="55"/>
      <c r="AA15" s="54"/>
      <c r="AB15" s="55"/>
      <c r="AC15" s="55"/>
    </row>
    <row r="16">
      <c r="A16" s="4"/>
      <c r="B16" s="36" t="s">
        <v>52</v>
      </c>
      <c r="C16" s="37" t="s">
        <v>56</v>
      </c>
      <c r="D16" s="38">
        <v>325.0</v>
      </c>
      <c r="E16" s="37" t="s">
        <v>21</v>
      </c>
      <c r="F16" s="9"/>
      <c r="G16" s="41">
        <v>45943.0</v>
      </c>
      <c r="H16" s="37" t="s">
        <v>57</v>
      </c>
      <c r="I16" s="37" t="s">
        <v>16</v>
      </c>
      <c r="J16" s="38">
        <v>34.9</v>
      </c>
      <c r="K16" s="37" t="s">
        <v>21</v>
      </c>
      <c r="L16" s="20"/>
      <c r="M16" s="40">
        <v>45905.0</v>
      </c>
      <c r="N16" s="37" t="s">
        <v>58</v>
      </c>
      <c r="O16" s="37" t="s">
        <v>59</v>
      </c>
      <c r="P16" s="41">
        <v>45690.0</v>
      </c>
      <c r="Q16" s="38">
        <v>57.0</v>
      </c>
      <c r="R16" s="37" t="s">
        <v>17</v>
      </c>
      <c r="S16" s="9"/>
      <c r="T16" s="2"/>
      <c r="U16" s="2"/>
      <c r="V16" s="55"/>
      <c r="W16" s="55"/>
      <c r="X16" s="55"/>
      <c r="Y16" s="58"/>
      <c r="Z16" s="55"/>
      <c r="AA16" s="54"/>
      <c r="AB16" s="55"/>
      <c r="AC16" s="55"/>
    </row>
    <row r="17">
      <c r="A17" s="4"/>
      <c r="B17" s="36" t="s">
        <v>60</v>
      </c>
      <c r="C17" s="37" t="s">
        <v>16</v>
      </c>
      <c r="D17" s="38">
        <v>35.0</v>
      </c>
      <c r="E17" s="37" t="s">
        <v>17</v>
      </c>
      <c r="F17" s="9"/>
      <c r="G17" s="41">
        <v>45944.0</v>
      </c>
      <c r="H17" s="37" t="s">
        <v>61</v>
      </c>
      <c r="I17" s="37" t="s">
        <v>27</v>
      </c>
      <c r="J17" s="38">
        <v>139.9</v>
      </c>
      <c r="K17" s="37" t="s">
        <v>17</v>
      </c>
      <c r="L17" s="20"/>
      <c r="M17" s="59">
        <v>45916.0</v>
      </c>
      <c r="N17" s="60" t="s">
        <v>62</v>
      </c>
      <c r="O17" s="60" t="s">
        <v>46</v>
      </c>
      <c r="P17" s="61">
        <v>45690.0</v>
      </c>
      <c r="Q17" s="62">
        <v>87.95</v>
      </c>
      <c r="R17" s="60" t="s">
        <v>17</v>
      </c>
      <c r="S17" s="9"/>
      <c r="T17" s="2"/>
      <c r="U17" s="2"/>
      <c r="V17" s="55"/>
      <c r="W17" s="55"/>
      <c r="X17" s="55"/>
      <c r="Y17" s="58"/>
      <c r="Z17" s="55"/>
      <c r="AA17" s="54"/>
      <c r="AB17" s="55"/>
      <c r="AC17" s="55"/>
    </row>
    <row r="18">
      <c r="A18" s="4"/>
      <c r="B18" s="36" t="s">
        <v>63</v>
      </c>
      <c r="C18" s="37" t="s">
        <v>11</v>
      </c>
      <c r="D18" s="38">
        <v>23.78</v>
      </c>
      <c r="E18" s="37" t="s">
        <v>17</v>
      </c>
      <c r="F18" s="9"/>
      <c r="G18" s="41">
        <v>45946.0</v>
      </c>
      <c r="H18" s="37" t="s">
        <v>64</v>
      </c>
      <c r="I18" s="37" t="s">
        <v>16</v>
      </c>
      <c r="J18" s="38">
        <v>189.9</v>
      </c>
      <c r="K18" s="37" t="s">
        <v>17</v>
      </c>
      <c r="L18" s="20"/>
      <c r="M18" s="59">
        <v>45919.0</v>
      </c>
      <c r="N18" s="60" t="s">
        <v>65</v>
      </c>
      <c r="O18" s="60" t="s">
        <v>66</v>
      </c>
      <c r="P18" s="60" t="s">
        <v>23</v>
      </c>
      <c r="Q18" s="62">
        <v>80.21</v>
      </c>
      <c r="R18" s="60" t="s">
        <v>17</v>
      </c>
      <c r="S18" s="9"/>
      <c r="T18" s="2"/>
      <c r="U18" s="2"/>
      <c r="V18" s="55"/>
      <c r="W18" s="55"/>
      <c r="X18" s="55"/>
      <c r="Y18" s="58"/>
      <c r="Z18" s="55"/>
      <c r="AA18" s="54"/>
      <c r="AB18" s="55"/>
      <c r="AC18" s="55"/>
    </row>
    <row r="19">
      <c r="A19" s="4"/>
      <c r="B19" s="63" t="s">
        <v>67</v>
      </c>
      <c r="C19" s="37" t="s">
        <v>29</v>
      </c>
      <c r="D19" s="38">
        <v>800.0</v>
      </c>
      <c r="E19" s="64" t="s">
        <v>17</v>
      </c>
      <c r="F19" s="9"/>
      <c r="G19" s="41">
        <v>45948.0</v>
      </c>
      <c r="H19" s="37" t="s">
        <v>68</v>
      </c>
      <c r="I19" s="37" t="s">
        <v>31</v>
      </c>
      <c r="J19" s="38">
        <v>14.99</v>
      </c>
      <c r="K19" s="37" t="s">
        <v>17</v>
      </c>
      <c r="L19" s="20"/>
      <c r="M19" s="65">
        <v>45920.0</v>
      </c>
      <c r="N19" s="60" t="s">
        <v>69</v>
      </c>
      <c r="O19" s="60" t="s">
        <v>70</v>
      </c>
      <c r="P19" s="60" t="s">
        <v>23</v>
      </c>
      <c r="Q19" s="62">
        <v>30.94</v>
      </c>
      <c r="R19" s="60" t="s">
        <v>17</v>
      </c>
      <c r="S19" s="9"/>
      <c r="T19" s="2"/>
      <c r="U19" s="2"/>
      <c r="V19" s="55"/>
      <c r="W19" s="55"/>
      <c r="X19" s="55"/>
      <c r="Y19" s="58"/>
      <c r="Z19" s="55"/>
      <c r="AA19" s="54"/>
      <c r="AB19" s="55"/>
      <c r="AC19" s="55"/>
    </row>
    <row r="20">
      <c r="A20" s="66"/>
      <c r="B20" s="25"/>
      <c r="C20" s="25" t="s">
        <v>47</v>
      </c>
      <c r="D20" s="67">
        <f>SUM(D9:D19)</f>
        <v>7343.51</v>
      </c>
      <c r="E20" s="25"/>
      <c r="F20" s="9"/>
      <c r="G20" s="68"/>
      <c r="H20" s="69" t="s">
        <v>47</v>
      </c>
      <c r="I20" s="68"/>
      <c r="J20" s="70">
        <f>SUM(J9:J19)</f>
        <v>1051.75</v>
      </c>
      <c r="K20" s="68"/>
      <c r="L20" s="20"/>
      <c r="M20" s="59">
        <v>45920.0</v>
      </c>
      <c r="N20" s="60" t="s">
        <v>71</v>
      </c>
      <c r="O20" s="60" t="s">
        <v>70</v>
      </c>
      <c r="P20" s="60" t="s">
        <v>23</v>
      </c>
      <c r="Q20" s="62">
        <v>12.93</v>
      </c>
      <c r="R20" s="60" t="s">
        <v>17</v>
      </c>
      <c r="S20" s="9"/>
      <c r="T20" s="2"/>
      <c r="U20" s="2"/>
      <c r="V20" s="55"/>
      <c r="W20" s="55"/>
      <c r="X20" s="55"/>
      <c r="Y20" s="58"/>
      <c r="Z20" s="55"/>
      <c r="AA20" s="54"/>
      <c r="AB20" s="55"/>
      <c r="AC20" s="55"/>
    </row>
    <row r="21">
      <c r="A21" s="66"/>
      <c r="B21" s="71"/>
      <c r="C21" s="71" t="s">
        <v>72</v>
      </c>
      <c r="D21" s="72">
        <v>6627.11</v>
      </c>
      <c r="E21" s="73">
        <f>D21/D20</f>
        <v>0.9024444714</v>
      </c>
      <c r="F21" s="20"/>
      <c r="G21" s="15"/>
      <c r="H21" s="15"/>
      <c r="I21" s="15"/>
      <c r="J21" s="56"/>
      <c r="K21" s="15"/>
      <c r="L21" s="20"/>
      <c r="M21" s="59">
        <v>45921.0</v>
      </c>
      <c r="N21" s="60" t="s">
        <v>73</v>
      </c>
      <c r="O21" s="60" t="s">
        <v>70</v>
      </c>
      <c r="P21" s="60" t="s">
        <v>23</v>
      </c>
      <c r="Q21" s="62">
        <v>31.5</v>
      </c>
      <c r="R21" s="60" t="s">
        <v>17</v>
      </c>
      <c r="S21" s="9"/>
      <c r="T21" s="2"/>
      <c r="U21" s="2"/>
      <c r="V21" s="55"/>
      <c r="W21" s="55"/>
      <c r="X21" s="55"/>
      <c r="Y21" s="58"/>
      <c r="Z21" s="55"/>
      <c r="AA21" s="54"/>
      <c r="AB21" s="55"/>
      <c r="AC21" s="55"/>
    </row>
    <row r="22">
      <c r="A22" s="66"/>
      <c r="B22" s="74"/>
      <c r="C22" s="75"/>
      <c r="D22" s="76"/>
      <c r="E22" s="15"/>
      <c r="F22" s="20"/>
      <c r="G22" s="2"/>
      <c r="H22" s="2"/>
      <c r="I22" s="2"/>
      <c r="J22" s="55"/>
      <c r="K22" s="2"/>
      <c r="L22" s="20"/>
      <c r="M22" s="59">
        <v>45921.0</v>
      </c>
      <c r="N22" s="60" t="s">
        <v>74</v>
      </c>
      <c r="O22" s="60" t="s">
        <v>70</v>
      </c>
      <c r="P22" s="60" t="s">
        <v>23</v>
      </c>
      <c r="Q22" s="62">
        <v>6.7</v>
      </c>
      <c r="R22" s="60" t="s">
        <v>17</v>
      </c>
      <c r="S22" s="9"/>
      <c r="T22" s="2"/>
      <c r="U22" s="2"/>
      <c r="V22" s="55"/>
      <c r="W22" s="55"/>
      <c r="X22" s="55"/>
      <c r="Y22" s="58"/>
      <c r="Z22" s="55"/>
      <c r="AA22" s="54"/>
      <c r="AB22" s="55"/>
      <c r="AC22" s="55"/>
    </row>
    <row r="23">
      <c r="A23" s="66"/>
      <c r="B23" s="24"/>
      <c r="C23" s="35"/>
      <c r="D23" s="77"/>
      <c r="E23" s="2"/>
      <c r="F23" s="20"/>
      <c r="G23" s="2"/>
      <c r="H23" s="2"/>
      <c r="I23" s="2"/>
      <c r="J23" s="55"/>
      <c r="K23" s="2"/>
      <c r="L23" s="20"/>
      <c r="M23" s="59">
        <v>45921.0</v>
      </c>
      <c r="N23" s="60" t="s">
        <v>75</v>
      </c>
      <c r="O23" s="60" t="s">
        <v>27</v>
      </c>
      <c r="P23" s="61">
        <v>45689.0</v>
      </c>
      <c r="Q23" s="62">
        <v>56.5</v>
      </c>
      <c r="R23" s="60" t="s">
        <v>17</v>
      </c>
      <c r="S23" s="9"/>
      <c r="T23" s="2"/>
      <c r="U23" s="2"/>
      <c r="V23" s="55"/>
      <c r="W23" s="55"/>
      <c r="X23" s="55"/>
      <c r="Y23" s="58"/>
      <c r="Z23" s="55"/>
      <c r="AA23" s="54"/>
      <c r="AB23" s="55"/>
      <c r="AC23" s="55"/>
    </row>
    <row r="24">
      <c r="A24" s="66"/>
      <c r="B24" s="24"/>
      <c r="C24" s="35"/>
      <c r="D24" s="77"/>
      <c r="E24" s="2"/>
      <c r="F24" s="20"/>
      <c r="G24" s="2"/>
      <c r="H24" s="78"/>
      <c r="I24" s="78"/>
      <c r="J24" s="78"/>
      <c r="K24" s="2"/>
      <c r="L24" s="20"/>
      <c r="M24" s="59">
        <v>45922.0</v>
      </c>
      <c r="N24" s="60" t="s">
        <v>76</v>
      </c>
      <c r="O24" s="60" t="s">
        <v>37</v>
      </c>
      <c r="P24" s="60" t="s">
        <v>23</v>
      </c>
      <c r="Q24" s="62">
        <v>15.96</v>
      </c>
      <c r="R24" s="60" t="s">
        <v>17</v>
      </c>
      <c r="S24" s="9"/>
      <c r="T24" s="2"/>
      <c r="U24" s="2"/>
      <c r="V24" s="55"/>
      <c r="W24" s="55"/>
      <c r="X24" s="55"/>
      <c r="Y24" s="58"/>
      <c r="Z24" s="55"/>
      <c r="AA24" s="54"/>
      <c r="AB24" s="55"/>
      <c r="AC24" s="55"/>
    </row>
    <row r="25">
      <c r="A25" s="66"/>
      <c r="B25" s="24"/>
      <c r="C25" s="79" t="s">
        <v>77</v>
      </c>
      <c r="D25" s="17"/>
      <c r="E25" s="18"/>
      <c r="F25" s="20"/>
      <c r="G25" s="2"/>
      <c r="H25" s="78"/>
      <c r="I25" s="78"/>
      <c r="J25" s="78"/>
      <c r="K25" s="2"/>
      <c r="L25" s="20"/>
      <c r="M25" s="59">
        <v>45923.0</v>
      </c>
      <c r="N25" s="60" t="s">
        <v>78</v>
      </c>
      <c r="O25" s="60" t="s">
        <v>50</v>
      </c>
      <c r="P25" s="60" t="s">
        <v>23</v>
      </c>
      <c r="Q25" s="62">
        <v>160.0</v>
      </c>
      <c r="R25" s="60" t="s">
        <v>17</v>
      </c>
      <c r="S25" s="9"/>
      <c r="T25" s="2"/>
      <c r="U25" s="2"/>
      <c r="V25" s="55"/>
      <c r="W25" s="55"/>
      <c r="X25" s="55"/>
      <c r="Y25" s="58"/>
      <c r="Z25" s="55"/>
      <c r="AA25" s="54"/>
      <c r="AB25" s="55"/>
      <c r="AC25" s="55"/>
    </row>
    <row r="26">
      <c r="A26" s="66"/>
      <c r="B26" s="24"/>
      <c r="C26" s="80"/>
      <c r="D26" s="81" t="s">
        <v>79</v>
      </c>
      <c r="E26" s="82" t="s">
        <v>14</v>
      </c>
      <c r="F26" s="20"/>
      <c r="G26" s="2"/>
      <c r="H26" s="78"/>
      <c r="I26" s="78"/>
      <c r="J26" s="78"/>
      <c r="K26" s="2"/>
      <c r="L26" s="20"/>
      <c r="M26" s="59">
        <v>45923.0</v>
      </c>
      <c r="N26" s="60" t="s">
        <v>80</v>
      </c>
      <c r="O26" s="60" t="s">
        <v>81</v>
      </c>
      <c r="P26" s="60" t="s">
        <v>23</v>
      </c>
      <c r="Q26" s="62">
        <v>13.34</v>
      </c>
      <c r="R26" s="60" t="s">
        <v>17</v>
      </c>
      <c r="S26" s="9"/>
      <c r="T26" s="2"/>
      <c r="U26" s="2"/>
      <c r="V26" s="55"/>
      <c r="W26" s="55"/>
      <c r="X26" s="55"/>
      <c r="Y26" s="58"/>
      <c r="Z26" s="55"/>
      <c r="AA26" s="54"/>
      <c r="AB26" s="55"/>
      <c r="AC26" s="55"/>
    </row>
    <row r="27">
      <c r="A27" s="66"/>
      <c r="B27" s="24"/>
      <c r="C27" s="82" t="s">
        <v>82</v>
      </c>
      <c r="D27" s="83">
        <v>16912.04</v>
      </c>
      <c r="E27" s="83"/>
      <c r="F27" s="20"/>
      <c r="G27" s="2"/>
      <c r="H27" s="78"/>
      <c r="I27" s="78"/>
      <c r="J27" s="78"/>
      <c r="K27" s="2"/>
      <c r="L27" s="20"/>
      <c r="M27" s="59">
        <v>45923.0</v>
      </c>
      <c r="N27" s="60" t="s">
        <v>83</v>
      </c>
      <c r="O27" s="60" t="s">
        <v>81</v>
      </c>
      <c r="P27" s="60" t="s">
        <v>23</v>
      </c>
      <c r="Q27" s="62">
        <v>11.97</v>
      </c>
      <c r="R27" s="60" t="s">
        <v>17</v>
      </c>
      <c r="S27" s="9"/>
      <c r="T27" s="2"/>
      <c r="U27" s="2"/>
      <c r="V27" s="55"/>
      <c r="W27" s="55"/>
      <c r="X27" s="55"/>
      <c r="Y27" s="58"/>
      <c r="Z27" s="55"/>
      <c r="AA27" s="54"/>
      <c r="AB27" s="55"/>
      <c r="AC27" s="55"/>
    </row>
    <row r="28">
      <c r="A28" s="66"/>
      <c r="B28" s="24"/>
      <c r="C28" s="82" t="s">
        <v>84</v>
      </c>
      <c r="D28" s="42">
        <f>D20</f>
        <v>7343.51</v>
      </c>
      <c r="E28" s="42"/>
      <c r="F28" s="20"/>
      <c r="G28" s="2"/>
      <c r="H28" s="78"/>
      <c r="I28" s="78"/>
      <c r="J28" s="78"/>
      <c r="K28" s="2"/>
      <c r="L28" s="20"/>
      <c r="M28" s="59">
        <v>45924.0</v>
      </c>
      <c r="N28" s="60" t="s">
        <v>32</v>
      </c>
      <c r="O28" s="60" t="s">
        <v>27</v>
      </c>
      <c r="P28" s="60" t="s">
        <v>23</v>
      </c>
      <c r="Q28" s="62">
        <v>77.58</v>
      </c>
      <c r="R28" s="60" t="s">
        <v>17</v>
      </c>
      <c r="S28" s="9"/>
      <c r="T28" s="2"/>
      <c r="U28" s="2"/>
      <c r="V28" s="55"/>
      <c r="W28" s="55"/>
      <c r="X28" s="55"/>
      <c r="Y28" s="58"/>
      <c r="Z28" s="55"/>
      <c r="AA28" s="54"/>
      <c r="AB28" s="55"/>
      <c r="AC28" s="55"/>
    </row>
    <row r="29">
      <c r="A29" s="66"/>
      <c r="B29" s="24"/>
      <c r="C29" s="82" t="s">
        <v>85</v>
      </c>
      <c r="D29" s="42">
        <f>SUMIF(R9:R97,"Itaú",Q9:Q97) + SUMIF(K9:K97,"Itaú",J9:J97)</f>
        <v>4842.27</v>
      </c>
      <c r="E29" s="38">
        <v>4861.28</v>
      </c>
      <c r="F29" s="20"/>
      <c r="G29" s="2"/>
      <c r="H29" s="78"/>
      <c r="I29" s="78"/>
      <c r="J29" s="78"/>
      <c r="K29" s="2"/>
      <c r="L29" s="20"/>
      <c r="M29" s="59">
        <v>45925.0</v>
      </c>
      <c r="N29" s="60" t="s">
        <v>86</v>
      </c>
      <c r="O29" s="60" t="s">
        <v>81</v>
      </c>
      <c r="P29" s="60" t="s">
        <v>23</v>
      </c>
      <c r="Q29" s="62">
        <v>4.0</v>
      </c>
      <c r="R29" s="60" t="s">
        <v>17</v>
      </c>
      <c r="S29" s="9"/>
      <c r="T29" s="2"/>
      <c r="U29" s="2"/>
      <c r="V29" s="55"/>
      <c r="W29" s="55"/>
      <c r="X29" s="55"/>
      <c r="Y29" s="58"/>
      <c r="Z29" s="55"/>
      <c r="AA29" s="54"/>
      <c r="AB29" s="55"/>
      <c r="AC29" s="55"/>
    </row>
    <row r="30">
      <c r="A30" s="66"/>
      <c r="B30" s="24"/>
      <c r="C30" s="82" t="s">
        <v>87</v>
      </c>
      <c r="D30" s="42"/>
      <c r="E30" s="42"/>
      <c r="F30" s="20"/>
      <c r="G30" s="2"/>
      <c r="H30" s="78"/>
      <c r="I30" s="78"/>
      <c r="J30" s="78"/>
      <c r="K30" s="2"/>
      <c r="L30" s="20"/>
      <c r="M30" s="59">
        <v>45926.0</v>
      </c>
      <c r="N30" s="60" t="s">
        <v>88</v>
      </c>
      <c r="O30" s="60" t="s">
        <v>55</v>
      </c>
      <c r="P30" s="61">
        <v>45717.0</v>
      </c>
      <c r="Q30" s="62">
        <v>106.66</v>
      </c>
      <c r="R30" s="60" t="s">
        <v>17</v>
      </c>
      <c r="S30" s="9"/>
      <c r="T30" s="2"/>
      <c r="U30" s="2"/>
      <c r="V30" s="55"/>
      <c r="W30" s="55"/>
      <c r="X30" s="55"/>
      <c r="Y30" s="58"/>
      <c r="Z30" s="55"/>
      <c r="AA30" s="54"/>
      <c r="AB30" s="55"/>
      <c r="AC30" s="55"/>
    </row>
    <row r="31">
      <c r="A31" s="66"/>
      <c r="B31" s="24"/>
      <c r="C31" s="82" t="s">
        <v>89</v>
      </c>
      <c r="D31" s="42">
        <f>SUM(J20,Q98)</f>
        <v>5968.24</v>
      </c>
      <c r="E31" s="42"/>
      <c r="F31" s="20"/>
      <c r="G31" s="2"/>
      <c r="H31" s="78"/>
      <c r="I31" s="78"/>
      <c r="J31" s="78"/>
      <c r="K31" s="2"/>
      <c r="L31" s="20"/>
      <c r="M31" s="59">
        <v>45926.0</v>
      </c>
      <c r="N31" s="60" t="s">
        <v>90</v>
      </c>
      <c r="O31" s="60" t="s">
        <v>46</v>
      </c>
      <c r="P31" s="61">
        <v>45689.0</v>
      </c>
      <c r="Q31" s="62">
        <v>51.75</v>
      </c>
      <c r="R31" s="60" t="s">
        <v>17</v>
      </c>
      <c r="S31" s="9"/>
      <c r="T31" s="2"/>
      <c r="U31" s="2"/>
      <c r="V31" s="55"/>
      <c r="W31" s="55"/>
      <c r="X31" s="55"/>
      <c r="Y31" s="58"/>
      <c r="Z31" s="55"/>
      <c r="AA31" s="54"/>
      <c r="AB31" s="55"/>
      <c r="AC31" s="55"/>
    </row>
    <row r="32">
      <c r="A32" s="66"/>
      <c r="B32" s="24"/>
      <c r="C32" s="82" t="s">
        <v>91</v>
      </c>
      <c r="D32" s="42">
        <f>V13</f>
        <v>15200</v>
      </c>
      <c r="E32" s="42"/>
      <c r="F32" s="20"/>
      <c r="G32" s="2"/>
      <c r="H32" s="78"/>
      <c r="I32" s="78"/>
      <c r="J32" s="78"/>
      <c r="K32" s="2"/>
      <c r="L32" s="20"/>
      <c r="M32" s="59">
        <v>45926.0</v>
      </c>
      <c r="N32" s="60" t="s">
        <v>92</v>
      </c>
      <c r="O32" s="60" t="s">
        <v>66</v>
      </c>
      <c r="P32" s="60" t="s">
        <v>23</v>
      </c>
      <c r="Q32" s="62">
        <v>43.15</v>
      </c>
      <c r="R32" s="60" t="s">
        <v>17</v>
      </c>
      <c r="S32" s="9"/>
      <c r="T32" s="2"/>
      <c r="U32" s="2"/>
      <c r="V32" s="55"/>
      <c r="W32" s="55"/>
      <c r="X32" s="55"/>
      <c r="Y32" s="58"/>
      <c r="Z32" s="55"/>
      <c r="AA32" s="54"/>
      <c r="AB32" s="55"/>
      <c r="AC32" s="55"/>
    </row>
    <row r="33">
      <c r="A33" s="66"/>
      <c r="B33" s="24"/>
      <c r="C33" s="84" t="s">
        <v>93</v>
      </c>
      <c r="D33" s="85">
        <f>SUM(D27,D28)- SUM(D31,D32)</f>
        <v>3087.31</v>
      </c>
      <c r="E33" s="86"/>
      <c r="F33" s="20"/>
      <c r="G33" s="2"/>
      <c r="H33" s="2"/>
      <c r="I33" s="2"/>
      <c r="J33" s="55"/>
      <c r="K33" s="2"/>
      <c r="L33" s="20"/>
      <c r="M33" s="59">
        <v>45926.0</v>
      </c>
      <c r="N33" s="60" t="s">
        <v>94</v>
      </c>
      <c r="O33" s="60" t="s">
        <v>59</v>
      </c>
      <c r="P33" s="60" t="s">
        <v>23</v>
      </c>
      <c r="Q33" s="62">
        <v>2.5</v>
      </c>
      <c r="R33" s="60" t="s">
        <v>17</v>
      </c>
      <c r="S33" s="9"/>
      <c r="T33" s="2"/>
      <c r="U33" s="2"/>
      <c r="V33" s="55"/>
      <c r="W33" s="55"/>
      <c r="X33" s="55"/>
      <c r="Y33" s="58"/>
      <c r="Z33" s="55"/>
      <c r="AA33" s="54"/>
      <c r="AB33" s="55"/>
      <c r="AC33" s="55"/>
    </row>
    <row r="34">
      <c r="A34" s="66"/>
      <c r="B34" s="24"/>
      <c r="C34" s="35"/>
      <c r="D34" s="77"/>
      <c r="E34" s="2"/>
      <c r="F34" s="20"/>
      <c r="G34" s="2"/>
      <c r="H34" s="2"/>
      <c r="I34" s="2"/>
      <c r="J34" s="55"/>
      <c r="K34" s="2"/>
      <c r="L34" s="20"/>
      <c r="M34" s="59">
        <v>45927.0</v>
      </c>
      <c r="N34" s="60" t="s">
        <v>95</v>
      </c>
      <c r="O34" s="60" t="s">
        <v>70</v>
      </c>
      <c r="P34" s="60" t="s">
        <v>23</v>
      </c>
      <c r="Q34" s="62">
        <v>10.92</v>
      </c>
      <c r="R34" s="60" t="s">
        <v>17</v>
      </c>
      <c r="S34" s="9"/>
      <c r="T34" s="2"/>
      <c r="U34" s="2"/>
      <c r="V34" s="55"/>
      <c r="W34" s="55"/>
      <c r="X34" s="55"/>
      <c r="Y34" s="58"/>
      <c r="Z34" s="55"/>
      <c r="AA34" s="54"/>
      <c r="AB34" s="55"/>
      <c r="AC34" s="55"/>
    </row>
    <row r="35">
      <c r="A35" s="66"/>
      <c r="B35" s="24"/>
      <c r="C35" s="35"/>
      <c r="D35" s="77"/>
      <c r="E35" s="2"/>
      <c r="F35" s="20"/>
      <c r="G35" s="2"/>
      <c r="H35" s="2"/>
      <c r="I35" s="2"/>
      <c r="J35" s="55"/>
      <c r="K35" s="2"/>
      <c r="L35" s="20"/>
      <c r="M35" s="59">
        <v>45928.0</v>
      </c>
      <c r="N35" s="60" t="s">
        <v>96</v>
      </c>
      <c r="O35" s="60" t="s">
        <v>70</v>
      </c>
      <c r="P35" s="60" t="s">
        <v>23</v>
      </c>
      <c r="Q35" s="62">
        <v>25.91</v>
      </c>
      <c r="R35" s="60" t="s">
        <v>17</v>
      </c>
      <c r="S35" s="9"/>
      <c r="T35" s="2"/>
      <c r="U35" s="2"/>
      <c r="V35" s="55"/>
      <c r="W35" s="55"/>
      <c r="X35" s="55"/>
      <c r="Y35" s="58"/>
      <c r="Z35" s="55"/>
      <c r="AA35" s="54"/>
      <c r="AB35" s="55"/>
      <c r="AC35" s="55"/>
    </row>
    <row r="36">
      <c r="A36" s="66"/>
      <c r="B36" s="24"/>
      <c r="C36" s="35"/>
      <c r="D36" s="77"/>
      <c r="E36" s="2"/>
      <c r="F36" s="20"/>
      <c r="G36" s="2"/>
      <c r="H36" s="2"/>
      <c r="I36" s="2"/>
      <c r="J36" s="55"/>
      <c r="K36" s="2"/>
      <c r="L36" s="20"/>
      <c r="M36" s="59">
        <v>45928.0</v>
      </c>
      <c r="N36" s="60" t="s">
        <v>97</v>
      </c>
      <c r="O36" s="60" t="s">
        <v>70</v>
      </c>
      <c r="P36" s="60" t="s">
        <v>23</v>
      </c>
      <c r="Q36" s="62">
        <v>23.8</v>
      </c>
      <c r="R36" s="60" t="s">
        <v>17</v>
      </c>
      <c r="S36" s="9"/>
      <c r="T36" s="2"/>
      <c r="U36" s="2"/>
      <c r="V36" s="55"/>
      <c r="W36" s="55"/>
      <c r="X36" s="55"/>
      <c r="Y36" s="58"/>
      <c r="Z36" s="55"/>
      <c r="AA36" s="54"/>
      <c r="AB36" s="55"/>
      <c r="AC36" s="55"/>
    </row>
    <row r="37">
      <c r="A37" s="66"/>
      <c r="B37" s="24"/>
      <c r="C37" s="35"/>
      <c r="D37" s="77"/>
      <c r="E37" s="2"/>
      <c r="F37" s="20"/>
      <c r="G37" s="2"/>
      <c r="H37" s="2"/>
      <c r="I37" s="2"/>
      <c r="J37" s="55"/>
      <c r="K37" s="2"/>
      <c r="L37" s="20"/>
      <c r="M37" s="59">
        <v>45928.0</v>
      </c>
      <c r="N37" s="60" t="s">
        <v>98</v>
      </c>
      <c r="O37" s="60" t="s">
        <v>66</v>
      </c>
      <c r="P37" s="60" t="s">
        <v>23</v>
      </c>
      <c r="Q37" s="62">
        <v>46.0</v>
      </c>
      <c r="R37" s="60" t="s">
        <v>17</v>
      </c>
      <c r="S37" s="9"/>
      <c r="T37" s="2"/>
      <c r="U37" s="2"/>
      <c r="V37" s="55"/>
      <c r="W37" s="55"/>
      <c r="X37" s="55"/>
      <c r="Y37" s="58"/>
      <c r="Z37" s="55"/>
      <c r="AA37" s="54"/>
      <c r="AB37" s="55"/>
      <c r="AC37" s="55"/>
    </row>
    <row r="38">
      <c r="A38" s="66"/>
      <c r="B38" s="24"/>
      <c r="C38" s="35"/>
      <c r="D38" s="77"/>
      <c r="E38" s="2"/>
      <c r="F38" s="20"/>
      <c r="G38" s="2"/>
      <c r="H38" s="2"/>
      <c r="I38" s="2"/>
      <c r="J38" s="55"/>
      <c r="K38" s="2"/>
      <c r="L38" s="20"/>
      <c r="M38" s="59">
        <v>45931.0</v>
      </c>
      <c r="N38" s="60" t="s">
        <v>99</v>
      </c>
      <c r="O38" s="60" t="s">
        <v>81</v>
      </c>
      <c r="P38" s="60" t="s">
        <v>23</v>
      </c>
      <c r="Q38" s="62">
        <v>25.05</v>
      </c>
      <c r="R38" s="60" t="s">
        <v>17</v>
      </c>
      <c r="S38" s="9"/>
      <c r="T38" s="2"/>
      <c r="U38" s="2"/>
      <c r="V38" s="55"/>
      <c r="W38" s="55"/>
      <c r="X38" s="55"/>
      <c r="Y38" s="58"/>
      <c r="Z38" s="55"/>
      <c r="AA38" s="54"/>
      <c r="AB38" s="55"/>
      <c r="AC38" s="55"/>
    </row>
    <row r="39">
      <c r="A39" s="66"/>
      <c r="B39" s="24"/>
      <c r="C39" s="35"/>
      <c r="D39" s="77"/>
      <c r="E39" s="2"/>
      <c r="F39" s="20"/>
      <c r="G39" s="2"/>
      <c r="H39" s="2"/>
      <c r="I39" s="2"/>
      <c r="J39" s="55"/>
      <c r="K39" s="2"/>
      <c r="L39" s="20"/>
      <c r="M39" s="59">
        <v>45931.0</v>
      </c>
      <c r="N39" s="60" t="s">
        <v>100</v>
      </c>
      <c r="O39" s="60" t="s">
        <v>16</v>
      </c>
      <c r="P39" s="60" t="s">
        <v>23</v>
      </c>
      <c r="Q39" s="62">
        <v>84.96</v>
      </c>
      <c r="R39" s="60" t="s">
        <v>17</v>
      </c>
      <c r="S39" s="9"/>
      <c r="T39" s="2"/>
      <c r="U39" s="2"/>
      <c r="V39" s="55"/>
      <c r="W39" s="55"/>
      <c r="X39" s="55"/>
      <c r="Y39" s="58"/>
      <c r="Z39" s="55"/>
      <c r="AA39" s="54"/>
      <c r="AB39" s="55"/>
      <c r="AC39" s="55"/>
    </row>
    <row r="40">
      <c r="A40" s="66"/>
      <c r="B40" s="24"/>
      <c r="C40" s="35"/>
      <c r="D40" s="77"/>
      <c r="E40" s="2"/>
      <c r="F40" s="2"/>
      <c r="G40" s="2"/>
      <c r="H40" s="2"/>
      <c r="I40" s="2"/>
      <c r="J40" s="55"/>
      <c r="K40" s="2"/>
      <c r="L40" s="20"/>
      <c r="M40" s="59">
        <v>45931.0</v>
      </c>
      <c r="N40" s="60" t="s">
        <v>100</v>
      </c>
      <c r="O40" s="60" t="s">
        <v>16</v>
      </c>
      <c r="P40" s="60" t="s">
        <v>23</v>
      </c>
      <c r="Q40" s="62">
        <v>101.6</v>
      </c>
      <c r="R40" s="60" t="s">
        <v>17</v>
      </c>
      <c r="S40" s="9"/>
      <c r="T40" s="2"/>
      <c r="U40" s="2"/>
      <c r="V40" s="55"/>
      <c r="W40" s="55"/>
      <c r="X40" s="55"/>
      <c r="Y40" s="58"/>
      <c r="Z40" s="55"/>
      <c r="AA40" s="54"/>
      <c r="AB40" s="55"/>
      <c r="AC40" s="55"/>
    </row>
    <row r="41">
      <c r="A41" s="66"/>
      <c r="B41" s="24"/>
      <c r="C41" s="35"/>
      <c r="D41" s="77"/>
      <c r="E41" s="2"/>
      <c r="F41" s="2"/>
      <c r="G41" s="2"/>
      <c r="H41" s="2"/>
      <c r="I41" s="2"/>
      <c r="J41" s="55"/>
      <c r="K41" s="2"/>
      <c r="L41" s="20"/>
      <c r="M41" s="40">
        <v>45932.0</v>
      </c>
      <c r="N41" s="37" t="s">
        <v>101</v>
      </c>
      <c r="O41" s="37" t="s">
        <v>50</v>
      </c>
      <c r="P41" s="38" t="s">
        <v>23</v>
      </c>
      <c r="Q41" s="38">
        <v>20.0</v>
      </c>
      <c r="R41" s="37" t="s">
        <v>38</v>
      </c>
      <c r="S41" s="9"/>
      <c r="T41" s="2"/>
      <c r="U41" s="2"/>
      <c r="V41" s="55"/>
      <c r="W41" s="55"/>
      <c r="X41" s="55"/>
      <c r="Y41" s="58"/>
      <c r="Z41" s="55"/>
      <c r="AA41" s="54"/>
      <c r="AB41" s="55"/>
      <c r="AC41" s="55"/>
    </row>
    <row r="42">
      <c r="A42" s="66"/>
      <c r="B42" s="24"/>
      <c r="C42" s="78"/>
      <c r="D42" s="78"/>
      <c r="E42" s="78"/>
      <c r="F42" s="2"/>
      <c r="G42" s="2"/>
      <c r="H42" s="2"/>
      <c r="I42" s="2"/>
      <c r="J42" s="55"/>
      <c r="K42" s="2"/>
      <c r="L42" s="20"/>
      <c r="M42" s="59">
        <v>45932.0</v>
      </c>
      <c r="N42" s="60" t="s">
        <v>102</v>
      </c>
      <c r="O42" s="60" t="s">
        <v>70</v>
      </c>
      <c r="P42" s="60" t="s">
        <v>23</v>
      </c>
      <c r="Q42" s="62">
        <v>24.96</v>
      </c>
      <c r="R42" s="60" t="s">
        <v>17</v>
      </c>
      <c r="S42" s="9"/>
      <c r="T42" s="2"/>
      <c r="U42" s="2"/>
      <c r="V42" s="55"/>
      <c r="W42" s="55"/>
      <c r="X42" s="55"/>
      <c r="Y42" s="58"/>
      <c r="Z42" s="55"/>
      <c r="AA42" s="54"/>
      <c r="AB42" s="55"/>
      <c r="AC42" s="55"/>
    </row>
    <row r="43">
      <c r="A43" s="66"/>
      <c r="B43" s="24"/>
      <c r="C43" s="78"/>
      <c r="D43" s="78"/>
      <c r="E43" s="78"/>
      <c r="F43" s="2"/>
      <c r="G43" s="2"/>
      <c r="H43" s="2"/>
      <c r="I43" s="2"/>
      <c r="J43" s="55"/>
      <c r="K43" s="2"/>
      <c r="L43" s="20"/>
      <c r="M43" s="59">
        <v>45932.0</v>
      </c>
      <c r="N43" s="60" t="s">
        <v>103</v>
      </c>
      <c r="O43" s="60" t="s">
        <v>81</v>
      </c>
      <c r="P43" s="60" t="s">
        <v>23</v>
      </c>
      <c r="Q43" s="62">
        <v>11.0</v>
      </c>
      <c r="R43" s="60" t="s">
        <v>17</v>
      </c>
      <c r="S43" s="9"/>
      <c r="T43" s="2"/>
      <c r="U43" s="2"/>
      <c r="V43" s="55"/>
      <c r="W43" s="55"/>
      <c r="X43" s="55"/>
      <c r="Y43" s="58"/>
      <c r="Z43" s="55"/>
      <c r="AA43" s="54"/>
      <c r="AB43" s="55"/>
      <c r="AC43" s="55"/>
    </row>
    <row r="44">
      <c r="A44" s="66"/>
      <c r="B44" s="24"/>
      <c r="C44" s="78"/>
      <c r="D44" s="78"/>
      <c r="E44" s="78"/>
      <c r="F44" s="2"/>
      <c r="G44" s="2"/>
      <c r="H44" s="2"/>
      <c r="I44" s="2"/>
      <c r="J44" s="55"/>
      <c r="K44" s="2"/>
      <c r="L44" s="20"/>
      <c r="M44" s="59">
        <v>45933.0</v>
      </c>
      <c r="N44" s="60" t="s">
        <v>104</v>
      </c>
      <c r="O44" s="60" t="s">
        <v>81</v>
      </c>
      <c r="P44" s="60" t="s">
        <v>23</v>
      </c>
      <c r="Q44" s="62">
        <v>2.75</v>
      </c>
      <c r="R44" s="60" t="s">
        <v>17</v>
      </c>
      <c r="S44" s="9"/>
      <c r="T44" s="2"/>
      <c r="U44" s="2"/>
      <c r="V44" s="55"/>
      <c r="W44" s="55"/>
      <c r="X44" s="55"/>
      <c r="Y44" s="58"/>
      <c r="Z44" s="55"/>
      <c r="AA44" s="54"/>
      <c r="AB44" s="55"/>
      <c r="AC44" s="55"/>
    </row>
    <row r="45">
      <c r="A45" s="66"/>
      <c r="B45" s="24"/>
      <c r="C45" s="78"/>
      <c r="D45" s="78"/>
      <c r="E45" s="78"/>
      <c r="F45" s="2"/>
      <c r="G45" s="2"/>
      <c r="H45" s="2"/>
      <c r="I45" s="2"/>
      <c r="J45" s="55"/>
      <c r="K45" s="2"/>
      <c r="L45" s="20"/>
      <c r="M45" s="59">
        <v>45933.0</v>
      </c>
      <c r="N45" s="60" t="s">
        <v>105</v>
      </c>
      <c r="O45" s="60" t="s">
        <v>27</v>
      </c>
      <c r="P45" s="60" t="s">
        <v>23</v>
      </c>
      <c r="Q45" s="62">
        <v>23.99</v>
      </c>
      <c r="R45" s="60" t="s">
        <v>17</v>
      </c>
      <c r="S45" s="9"/>
      <c r="T45" s="2"/>
      <c r="U45" s="2"/>
      <c r="V45" s="55"/>
      <c r="W45" s="55"/>
      <c r="X45" s="55"/>
      <c r="Y45" s="58"/>
      <c r="Z45" s="55"/>
      <c r="AA45" s="54"/>
      <c r="AB45" s="55"/>
      <c r="AC45" s="55"/>
    </row>
    <row r="46">
      <c r="A46" s="66"/>
      <c r="B46" s="24"/>
      <c r="C46" s="78"/>
      <c r="D46" s="78"/>
      <c r="E46" s="78"/>
      <c r="F46" s="2"/>
      <c r="G46" s="2"/>
      <c r="H46" s="2"/>
      <c r="I46" s="2"/>
      <c r="J46" s="55"/>
      <c r="K46" s="2"/>
      <c r="L46" s="20"/>
      <c r="M46" s="59">
        <v>45933.0</v>
      </c>
      <c r="N46" s="60" t="s">
        <v>106</v>
      </c>
      <c r="O46" s="60" t="s">
        <v>55</v>
      </c>
      <c r="P46" s="61">
        <v>45689.0</v>
      </c>
      <c r="Q46" s="62">
        <v>100.0</v>
      </c>
      <c r="R46" s="60" t="s">
        <v>17</v>
      </c>
      <c r="S46" s="9"/>
      <c r="T46" s="2"/>
      <c r="U46" s="2"/>
      <c r="V46" s="55"/>
      <c r="W46" s="55"/>
      <c r="X46" s="55"/>
      <c r="Y46" s="58"/>
      <c r="Z46" s="55"/>
      <c r="AA46" s="54"/>
      <c r="AB46" s="55"/>
      <c r="AC46" s="55"/>
    </row>
    <row r="47">
      <c r="A47" s="66"/>
      <c r="B47" s="24"/>
      <c r="C47" s="78"/>
      <c r="D47" s="78"/>
      <c r="E47" s="78"/>
      <c r="F47" s="2"/>
      <c r="G47" s="2"/>
      <c r="H47" s="2"/>
      <c r="I47" s="2"/>
      <c r="J47" s="55"/>
      <c r="K47" s="2"/>
      <c r="L47" s="20"/>
      <c r="M47" s="59">
        <v>45933.0</v>
      </c>
      <c r="N47" s="60" t="s">
        <v>107</v>
      </c>
      <c r="O47" s="60" t="s">
        <v>70</v>
      </c>
      <c r="P47" s="60" t="s">
        <v>23</v>
      </c>
      <c r="Q47" s="62">
        <v>13.92</v>
      </c>
      <c r="R47" s="60" t="s">
        <v>17</v>
      </c>
      <c r="S47" s="9"/>
      <c r="T47" s="2"/>
      <c r="U47" s="2"/>
      <c r="V47" s="55"/>
      <c r="W47" s="55"/>
      <c r="X47" s="55"/>
      <c r="Y47" s="58"/>
      <c r="Z47" s="55"/>
      <c r="AA47" s="54"/>
      <c r="AB47" s="55"/>
      <c r="AC47" s="55"/>
    </row>
    <row r="48">
      <c r="A48" s="66"/>
      <c r="B48" s="24"/>
      <c r="C48" s="78"/>
      <c r="D48" s="78"/>
      <c r="E48" s="78"/>
      <c r="F48" s="2"/>
      <c r="G48" s="2"/>
      <c r="H48" s="2"/>
      <c r="I48" s="2"/>
      <c r="J48" s="55"/>
      <c r="K48" s="2"/>
      <c r="L48" s="20"/>
      <c r="M48" s="59">
        <v>45934.0</v>
      </c>
      <c r="N48" s="60" t="s">
        <v>108</v>
      </c>
      <c r="O48" s="60" t="s">
        <v>66</v>
      </c>
      <c r="P48" s="60" t="s">
        <v>23</v>
      </c>
      <c r="Q48" s="62">
        <v>20.3</v>
      </c>
      <c r="R48" s="60" t="s">
        <v>17</v>
      </c>
      <c r="S48" s="9"/>
      <c r="T48" s="2"/>
      <c r="U48" s="2"/>
      <c r="V48" s="55"/>
      <c r="W48" s="55"/>
      <c r="X48" s="55"/>
      <c r="Y48" s="58"/>
      <c r="Z48" s="55"/>
      <c r="AA48" s="54"/>
      <c r="AB48" s="55"/>
      <c r="AC48" s="55"/>
    </row>
    <row r="49">
      <c r="A49" s="66"/>
      <c r="B49" s="24"/>
      <c r="C49" s="78"/>
      <c r="D49" s="78"/>
      <c r="E49" s="78"/>
      <c r="F49" s="2"/>
      <c r="G49" s="2"/>
      <c r="H49" s="2"/>
      <c r="I49" s="2"/>
      <c r="J49" s="55"/>
      <c r="K49" s="2"/>
      <c r="L49" s="20"/>
      <c r="M49" s="59">
        <v>45934.0</v>
      </c>
      <c r="N49" s="60" t="s">
        <v>109</v>
      </c>
      <c r="O49" s="60" t="s">
        <v>66</v>
      </c>
      <c r="P49" s="60" t="s">
        <v>23</v>
      </c>
      <c r="Q49" s="62">
        <v>7.0</v>
      </c>
      <c r="R49" s="60" t="s">
        <v>17</v>
      </c>
      <c r="S49" s="9"/>
      <c r="T49" s="2"/>
      <c r="U49" s="2"/>
      <c r="V49" s="55"/>
      <c r="W49" s="55"/>
      <c r="X49" s="55"/>
      <c r="Y49" s="58"/>
      <c r="Z49" s="55"/>
      <c r="AA49" s="54"/>
      <c r="AB49" s="55"/>
      <c r="AC49" s="55"/>
    </row>
    <row r="50">
      <c r="A50" s="66"/>
      <c r="B50" s="24"/>
      <c r="C50" s="78"/>
      <c r="D50" s="78"/>
      <c r="E50" s="78"/>
      <c r="F50" s="2"/>
      <c r="G50" s="2"/>
      <c r="H50" s="2"/>
      <c r="I50" s="2"/>
      <c r="J50" s="55"/>
      <c r="K50" s="2"/>
      <c r="L50" s="20"/>
      <c r="M50" s="59">
        <v>45934.0</v>
      </c>
      <c r="N50" s="60" t="s">
        <v>110</v>
      </c>
      <c r="O50" s="60" t="s">
        <v>66</v>
      </c>
      <c r="P50" s="60" t="s">
        <v>23</v>
      </c>
      <c r="Q50" s="62">
        <v>40.0</v>
      </c>
      <c r="R50" s="60" t="s">
        <v>17</v>
      </c>
      <c r="S50" s="9"/>
      <c r="T50" s="2"/>
      <c r="U50" s="2"/>
      <c r="V50" s="55"/>
      <c r="W50" s="55"/>
      <c r="X50" s="55"/>
      <c r="Y50" s="58"/>
      <c r="Z50" s="55"/>
      <c r="AA50" s="54"/>
      <c r="AB50" s="55"/>
      <c r="AC50" s="55"/>
    </row>
    <row r="51">
      <c r="A51" s="66"/>
      <c r="B51" s="24"/>
      <c r="C51" s="35"/>
      <c r="D51" s="77"/>
      <c r="E51" s="2"/>
      <c r="F51" s="2"/>
      <c r="G51" s="2"/>
      <c r="H51" s="2"/>
      <c r="I51" s="2"/>
      <c r="J51" s="55"/>
      <c r="K51" s="2"/>
      <c r="L51" s="20"/>
      <c r="M51" s="59">
        <v>45934.0</v>
      </c>
      <c r="N51" s="60" t="s">
        <v>111</v>
      </c>
      <c r="O51" s="60" t="s">
        <v>70</v>
      </c>
      <c r="P51" s="60" t="s">
        <v>23</v>
      </c>
      <c r="Q51" s="62">
        <v>13.4</v>
      </c>
      <c r="R51" s="60" t="s">
        <v>17</v>
      </c>
      <c r="S51" s="9"/>
      <c r="T51" s="2"/>
      <c r="U51" s="2"/>
      <c r="V51" s="55"/>
      <c r="W51" s="55"/>
      <c r="X51" s="55"/>
      <c r="Y51" s="58"/>
      <c r="Z51" s="55"/>
      <c r="AA51" s="54"/>
      <c r="AB51" s="55"/>
      <c r="AC51" s="55"/>
    </row>
    <row r="52">
      <c r="A52" s="66"/>
      <c r="B52" s="24"/>
      <c r="C52" s="35"/>
      <c r="D52" s="77"/>
      <c r="E52" s="2"/>
      <c r="F52" s="2"/>
      <c r="G52" s="2"/>
      <c r="H52" s="2"/>
      <c r="I52" s="2"/>
      <c r="J52" s="55"/>
      <c r="K52" s="2"/>
      <c r="L52" s="20"/>
      <c r="M52" s="40">
        <v>45934.0</v>
      </c>
      <c r="N52" s="37" t="s">
        <v>112</v>
      </c>
      <c r="O52" s="37" t="s">
        <v>66</v>
      </c>
      <c r="P52" s="37" t="s">
        <v>23</v>
      </c>
      <c r="Q52" s="38">
        <v>22.95</v>
      </c>
      <c r="R52" s="37" t="s">
        <v>21</v>
      </c>
      <c r="S52" s="9"/>
      <c r="T52" s="2"/>
      <c r="U52" s="2"/>
      <c r="V52" s="55"/>
      <c r="W52" s="55"/>
      <c r="X52" s="55"/>
      <c r="Y52" s="58"/>
      <c r="Z52" s="55"/>
      <c r="AA52" s="54"/>
      <c r="AB52" s="55"/>
      <c r="AC52" s="55"/>
    </row>
    <row r="53">
      <c r="A53" s="66"/>
      <c r="B53" s="24"/>
      <c r="C53" s="35"/>
      <c r="D53" s="77"/>
      <c r="E53" s="2"/>
      <c r="F53" s="2"/>
      <c r="G53" s="2"/>
      <c r="H53" s="2"/>
      <c r="I53" s="2"/>
      <c r="J53" s="55"/>
      <c r="K53" s="2"/>
      <c r="L53" s="20"/>
      <c r="M53" s="59">
        <v>45935.0</v>
      </c>
      <c r="N53" s="60" t="s">
        <v>111</v>
      </c>
      <c r="O53" s="60" t="s">
        <v>70</v>
      </c>
      <c r="P53" s="60" t="s">
        <v>23</v>
      </c>
      <c r="Q53" s="62">
        <v>19.63</v>
      </c>
      <c r="R53" s="60" t="s">
        <v>17</v>
      </c>
      <c r="S53" s="9"/>
      <c r="T53" s="2"/>
      <c r="U53" s="2"/>
      <c r="V53" s="55"/>
      <c r="W53" s="55"/>
      <c r="X53" s="55"/>
      <c r="Y53" s="58"/>
      <c r="Z53" s="55"/>
      <c r="AA53" s="54"/>
      <c r="AB53" s="55"/>
      <c r="AC53" s="55"/>
    </row>
    <row r="54">
      <c r="A54" s="66"/>
      <c r="B54" s="24"/>
      <c r="C54" s="35"/>
      <c r="D54" s="77"/>
      <c r="E54" s="2"/>
      <c r="F54" s="20"/>
      <c r="G54" s="2"/>
      <c r="H54" s="2"/>
      <c r="I54" s="2"/>
      <c r="J54" s="55"/>
      <c r="K54" s="2"/>
      <c r="L54" s="20"/>
      <c r="M54" s="59">
        <v>45935.0</v>
      </c>
      <c r="N54" s="60" t="s">
        <v>113</v>
      </c>
      <c r="O54" s="60" t="s">
        <v>66</v>
      </c>
      <c r="P54" s="60" t="s">
        <v>23</v>
      </c>
      <c r="Q54" s="62">
        <v>22.0</v>
      </c>
      <c r="R54" s="60" t="s">
        <v>17</v>
      </c>
      <c r="S54" s="9"/>
      <c r="T54" s="2"/>
      <c r="U54" s="2"/>
      <c r="V54" s="55"/>
      <c r="W54" s="55"/>
      <c r="X54" s="55"/>
      <c r="Y54" s="58"/>
      <c r="Z54" s="55"/>
      <c r="AA54" s="54"/>
      <c r="AB54" s="55"/>
      <c r="AC54" s="55"/>
    </row>
    <row r="55">
      <c r="A55" s="66"/>
      <c r="B55" s="24"/>
      <c r="C55" s="35"/>
      <c r="D55" s="77"/>
      <c r="E55" s="2"/>
      <c r="F55" s="20"/>
      <c r="G55" s="2"/>
      <c r="H55" s="2"/>
      <c r="I55" s="2"/>
      <c r="J55" s="55"/>
      <c r="K55" s="2"/>
      <c r="L55" s="20"/>
      <c r="M55" s="59">
        <v>45935.0</v>
      </c>
      <c r="N55" s="60" t="s">
        <v>114</v>
      </c>
      <c r="O55" s="60" t="s">
        <v>66</v>
      </c>
      <c r="P55" s="60" t="s">
        <v>23</v>
      </c>
      <c r="Q55" s="62">
        <v>33.0</v>
      </c>
      <c r="R55" s="60" t="s">
        <v>17</v>
      </c>
      <c r="S55" s="9"/>
      <c r="T55" s="2"/>
      <c r="U55" s="2"/>
      <c r="V55" s="55"/>
      <c r="W55" s="55"/>
      <c r="X55" s="55"/>
      <c r="Y55" s="58"/>
      <c r="Z55" s="55"/>
      <c r="AA55" s="54"/>
      <c r="AB55" s="55"/>
      <c r="AC55" s="55"/>
    </row>
    <row r="56">
      <c r="A56" s="66"/>
      <c r="B56" s="24"/>
      <c r="C56" s="35"/>
      <c r="D56" s="77"/>
      <c r="E56" s="2"/>
      <c r="F56" s="20"/>
      <c r="G56" s="2"/>
      <c r="H56" s="2"/>
      <c r="I56" s="2"/>
      <c r="J56" s="55"/>
      <c r="K56" s="2"/>
      <c r="L56" s="20"/>
      <c r="M56" s="59">
        <v>45935.0</v>
      </c>
      <c r="N56" s="60" t="s">
        <v>115</v>
      </c>
      <c r="O56" s="60" t="s">
        <v>70</v>
      </c>
      <c r="P56" s="60" t="s">
        <v>23</v>
      </c>
      <c r="Q56" s="62">
        <v>25.95</v>
      </c>
      <c r="R56" s="60" t="s">
        <v>17</v>
      </c>
      <c r="S56" s="9"/>
      <c r="T56" s="2"/>
      <c r="U56" s="2"/>
      <c r="V56" s="55"/>
      <c r="W56" s="55"/>
      <c r="X56" s="55"/>
      <c r="Y56" s="58"/>
      <c r="Z56" s="55"/>
      <c r="AA56" s="54"/>
      <c r="AB56" s="55"/>
      <c r="AC56" s="55"/>
    </row>
    <row r="57">
      <c r="A57" s="66"/>
      <c r="B57" s="24"/>
      <c r="C57" s="35"/>
      <c r="D57" s="77"/>
      <c r="E57" s="2"/>
      <c r="F57" s="20"/>
      <c r="G57" s="2"/>
      <c r="H57" s="2"/>
      <c r="I57" s="2"/>
      <c r="J57" s="55"/>
      <c r="K57" s="2"/>
      <c r="L57" s="20"/>
      <c r="M57" s="40">
        <v>45937.0</v>
      </c>
      <c r="N57" s="37" t="s">
        <v>116</v>
      </c>
      <c r="O57" s="37" t="s">
        <v>66</v>
      </c>
      <c r="P57" s="38" t="s">
        <v>23</v>
      </c>
      <c r="Q57" s="38">
        <v>27.0</v>
      </c>
      <c r="R57" s="37" t="s">
        <v>38</v>
      </c>
      <c r="S57" s="9"/>
      <c r="T57" s="2"/>
      <c r="U57" s="2"/>
      <c r="V57" s="55"/>
      <c r="W57" s="55"/>
      <c r="X57" s="55"/>
      <c r="Y57" s="58"/>
      <c r="Z57" s="55"/>
      <c r="AA57" s="54"/>
      <c r="AB57" s="55"/>
      <c r="AC57" s="55"/>
    </row>
    <row r="58">
      <c r="A58" s="66"/>
      <c r="B58" s="24"/>
      <c r="C58" s="35"/>
      <c r="D58" s="77"/>
      <c r="E58" s="2"/>
      <c r="F58" s="20"/>
      <c r="G58" s="2"/>
      <c r="H58" s="2"/>
      <c r="I58" s="2"/>
      <c r="J58" s="55"/>
      <c r="K58" s="2"/>
      <c r="L58" s="20"/>
      <c r="M58" s="59">
        <v>45937.0</v>
      </c>
      <c r="N58" s="60" t="s">
        <v>117</v>
      </c>
      <c r="O58" s="60" t="s">
        <v>81</v>
      </c>
      <c r="P58" s="60" t="s">
        <v>23</v>
      </c>
      <c r="Q58" s="62">
        <v>45.43</v>
      </c>
      <c r="R58" s="60" t="s">
        <v>17</v>
      </c>
      <c r="S58" s="9"/>
      <c r="T58" s="2"/>
      <c r="U58" s="2"/>
      <c r="V58" s="55"/>
      <c r="W58" s="55"/>
      <c r="X58" s="55"/>
      <c r="Y58" s="58"/>
      <c r="Z58" s="55"/>
      <c r="AA58" s="54"/>
      <c r="AB58" s="55"/>
      <c r="AC58" s="55"/>
    </row>
    <row r="59">
      <c r="A59" s="66"/>
      <c r="B59" s="24"/>
      <c r="C59" s="35"/>
      <c r="D59" s="77"/>
      <c r="E59" s="2"/>
      <c r="F59" s="20"/>
      <c r="G59" s="2"/>
      <c r="H59" s="2"/>
      <c r="I59" s="2"/>
      <c r="J59" s="55"/>
      <c r="K59" s="2"/>
      <c r="L59" s="20"/>
      <c r="M59" s="59">
        <v>45937.0</v>
      </c>
      <c r="N59" s="60" t="s">
        <v>118</v>
      </c>
      <c r="O59" s="60" t="s">
        <v>55</v>
      </c>
      <c r="P59" s="61">
        <v>45689.0</v>
      </c>
      <c r="Q59" s="62">
        <v>40.5</v>
      </c>
      <c r="R59" s="60" t="s">
        <v>17</v>
      </c>
      <c r="S59" s="9"/>
      <c r="T59" s="2"/>
      <c r="U59" s="2"/>
      <c r="V59" s="55"/>
      <c r="W59" s="55"/>
      <c r="X59" s="55"/>
      <c r="Y59" s="58"/>
      <c r="Z59" s="55"/>
      <c r="AA59" s="54"/>
      <c r="AB59" s="55"/>
      <c r="AC59" s="55"/>
    </row>
    <row r="60">
      <c r="A60" s="66"/>
      <c r="B60" s="24"/>
      <c r="C60" s="35"/>
      <c r="D60" s="77"/>
      <c r="E60" s="2"/>
      <c r="F60" s="20"/>
      <c r="G60" s="2"/>
      <c r="H60" s="2"/>
      <c r="I60" s="2"/>
      <c r="J60" s="55"/>
      <c r="K60" s="2"/>
      <c r="L60" s="20"/>
      <c r="M60" s="59">
        <v>45937.0</v>
      </c>
      <c r="N60" s="60" t="s">
        <v>119</v>
      </c>
      <c r="O60" s="60" t="s">
        <v>70</v>
      </c>
      <c r="P60" s="60" t="s">
        <v>23</v>
      </c>
      <c r="Q60" s="62">
        <v>50.0</v>
      </c>
      <c r="R60" s="60" t="s">
        <v>17</v>
      </c>
      <c r="S60" s="9"/>
      <c r="T60" s="2"/>
      <c r="U60" s="2"/>
      <c r="V60" s="55"/>
      <c r="W60" s="55"/>
      <c r="X60" s="55"/>
      <c r="Y60" s="58"/>
      <c r="Z60" s="55"/>
      <c r="AA60" s="54"/>
      <c r="AB60" s="55"/>
      <c r="AC60" s="55"/>
    </row>
    <row r="61">
      <c r="A61" s="66"/>
      <c r="B61" s="24"/>
      <c r="C61" s="35"/>
      <c r="D61" s="77"/>
      <c r="E61" s="2"/>
      <c r="F61" s="20"/>
      <c r="G61" s="2"/>
      <c r="H61" s="2"/>
      <c r="I61" s="2"/>
      <c r="J61" s="55"/>
      <c r="K61" s="2"/>
      <c r="L61" s="20"/>
      <c r="M61" s="59">
        <v>45937.0</v>
      </c>
      <c r="N61" s="60" t="s">
        <v>120</v>
      </c>
      <c r="O61" s="60" t="s">
        <v>46</v>
      </c>
      <c r="P61" s="60" t="s">
        <v>23</v>
      </c>
      <c r="Q61" s="62">
        <v>167.25</v>
      </c>
      <c r="R61" s="60" t="s">
        <v>17</v>
      </c>
      <c r="S61" s="9"/>
      <c r="T61" s="2"/>
      <c r="U61" s="2"/>
      <c r="V61" s="55"/>
      <c r="W61" s="55"/>
      <c r="X61" s="55"/>
      <c r="Y61" s="58"/>
      <c r="Z61" s="55"/>
      <c r="AA61" s="54"/>
      <c r="AB61" s="55"/>
      <c r="AC61" s="55"/>
    </row>
    <row r="62">
      <c r="A62" s="66"/>
      <c r="B62" s="24"/>
      <c r="C62" s="35"/>
      <c r="D62" s="77"/>
      <c r="E62" s="2"/>
      <c r="F62" s="20"/>
      <c r="G62" s="2"/>
      <c r="H62" s="2"/>
      <c r="I62" s="2"/>
      <c r="J62" s="55"/>
      <c r="K62" s="2"/>
      <c r="L62" s="20"/>
      <c r="M62" s="59">
        <v>45937.0</v>
      </c>
      <c r="N62" s="60" t="s">
        <v>121</v>
      </c>
      <c r="O62" s="60" t="s">
        <v>55</v>
      </c>
      <c r="P62" s="61">
        <v>45689.0</v>
      </c>
      <c r="Q62" s="62">
        <v>66.0</v>
      </c>
      <c r="R62" s="60" t="s">
        <v>17</v>
      </c>
      <c r="S62" s="9"/>
      <c r="T62" s="2"/>
      <c r="U62" s="2"/>
      <c r="V62" s="55"/>
      <c r="W62" s="55"/>
      <c r="X62" s="55"/>
      <c r="Y62" s="58"/>
      <c r="Z62" s="55"/>
      <c r="AA62" s="54"/>
      <c r="AB62" s="55"/>
      <c r="AC62" s="55"/>
    </row>
    <row r="63">
      <c r="A63" s="66"/>
      <c r="B63" s="24"/>
      <c r="C63" s="35"/>
      <c r="D63" s="77"/>
      <c r="E63" s="2"/>
      <c r="F63" s="20"/>
      <c r="G63" s="2"/>
      <c r="H63" s="2"/>
      <c r="I63" s="2"/>
      <c r="J63" s="55"/>
      <c r="K63" s="2"/>
      <c r="L63" s="20"/>
      <c r="M63" s="59">
        <v>45937.0</v>
      </c>
      <c r="N63" s="60" t="s">
        <v>122</v>
      </c>
      <c r="O63" s="60" t="s">
        <v>70</v>
      </c>
      <c r="P63" s="60" t="s">
        <v>23</v>
      </c>
      <c r="Q63" s="62">
        <v>30.2</v>
      </c>
      <c r="R63" s="60" t="s">
        <v>17</v>
      </c>
      <c r="S63" s="9"/>
      <c r="T63" s="2"/>
      <c r="U63" s="2"/>
      <c r="V63" s="55"/>
      <c r="W63" s="55"/>
      <c r="X63" s="55"/>
      <c r="Y63" s="58"/>
      <c r="Z63" s="55"/>
      <c r="AA63" s="54"/>
      <c r="AB63" s="55"/>
      <c r="AC63" s="55"/>
    </row>
    <row r="64">
      <c r="A64" s="66"/>
      <c r="B64" s="24"/>
      <c r="C64" s="35"/>
      <c r="D64" s="77"/>
      <c r="E64" s="2"/>
      <c r="F64" s="20"/>
      <c r="G64" s="2"/>
      <c r="H64" s="2"/>
      <c r="I64" s="2"/>
      <c r="J64" s="55"/>
      <c r="K64" s="2"/>
      <c r="L64" s="20"/>
      <c r="M64" s="59">
        <v>45938.0</v>
      </c>
      <c r="N64" s="60" t="s">
        <v>123</v>
      </c>
      <c r="O64" s="60" t="s">
        <v>70</v>
      </c>
      <c r="P64" s="60" t="s">
        <v>23</v>
      </c>
      <c r="Q64" s="62">
        <v>16.6</v>
      </c>
      <c r="R64" s="60" t="s">
        <v>17</v>
      </c>
      <c r="S64" s="9"/>
      <c r="T64" s="2"/>
      <c r="U64" s="2"/>
      <c r="V64" s="55"/>
      <c r="W64" s="55"/>
      <c r="X64" s="55"/>
      <c r="Y64" s="58"/>
      <c r="Z64" s="55"/>
      <c r="AA64" s="54"/>
      <c r="AB64" s="55"/>
      <c r="AC64" s="55"/>
    </row>
    <row r="65">
      <c r="A65" s="66"/>
      <c r="B65" s="24"/>
      <c r="C65" s="35"/>
      <c r="D65" s="77"/>
      <c r="E65" s="2"/>
      <c r="F65" s="20"/>
      <c r="G65" s="2"/>
      <c r="H65" s="2"/>
      <c r="I65" s="2"/>
      <c r="J65" s="55"/>
      <c r="K65" s="2"/>
      <c r="L65" s="20"/>
      <c r="M65" s="59">
        <v>45938.0</v>
      </c>
      <c r="N65" s="60" t="s">
        <v>123</v>
      </c>
      <c r="O65" s="60" t="s">
        <v>70</v>
      </c>
      <c r="P65" s="60" t="s">
        <v>23</v>
      </c>
      <c r="Q65" s="62">
        <v>12.6</v>
      </c>
      <c r="R65" s="60" t="s">
        <v>17</v>
      </c>
      <c r="S65" s="9"/>
      <c r="T65" s="2"/>
      <c r="U65" s="2"/>
      <c r="V65" s="55"/>
      <c r="W65" s="55"/>
      <c r="X65" s="55"/>
      <c r="Y65" s="58"/>
      <c r="Z65" s="55"/>
      <c r="AA65" s="54"/>
      <c r="AB65" s="55"/>
      <c r="AC65" s="55"/>
    </row>
    <row r="66">
      <c r="A66" s="66"/>
      <c r="B66" s="24"/>
      <c r="C66" s="35"/>
      <c r="D66" s="77"/>
      <c r="E66" s="2"/>
      <c r="F66" s="20"/>
      <c r="G66" s="2"/>
      <c r="H66" s="2"/>
      <c r="I66" s="2"/>
      <c r="J66" s="55"/>
      <c r="K66" s="2"/>
      <c r="L66" s="20"/>
      <c r="M66" s="59">
        <v>45938.0</v>
      </c>
      <c r="N66" s="60" t="s">
        <v>124</v>
      </c>
      <c r="O66" s="60" t="s">
        <v>81</v>
      </c>
      <c r="P66" s="60" t="s">
        <v>23</v>
      </c>
      <c r="Q66" s="62">
        <v>43.45</v>
      </c>
      <c r="R66" s="60" t="s">
        <v>17</v>
      </c>
      <c r="S66" s="9"/>
      <c r="T66" s="2"/>
      <c r="U66" s="2"/>
      <c r="V66" s="55"/>
      <c r="W66" s="55"/>
      <c r="X66" s="55"/>
      <c r="Y66" s="58"/>
      <c r="Z66" s="55"/>
      <c r="AA66" s="54"/>
      <c r="AB66" s="55"/>
      <c r="AC66" s="55"/>
    </row>
    <row r="67">
      <c r="A67" s="66"/>
      <c r="B67" s="24"/>
      <c r="C67" s="35"/>
      <c r="D67" s="77"/>
      <c r="E67" s="2"/>
      <c r="F67" s="20"/>
      <c r="G67" s="2"/>
      <c r="H67" s="2"/>
      <c r="I67" s="2"/>
      <c r="J67" s="55"/>
      <c r="K67" s="2"/>
      <c r="L67" s="20"/>
      <c r="M67" s="59">
        <v>45938.0</v>
      </c>
      <c r="N67" s="60" t="s">
        <v>125</v>
      </c>
      <c r="O67" s="60" t="s">
        <v>50</v>
      </c>
      <c r="P67" s="61">
        <v>45689.0</v>
      </c>
      <c r="Q67" s="62">
        <v>62.4</v>
      </c>
      <c r="R67" s="60" t="s">
        <v>17</v>
      </c>
      <c r="S67" s="9"/>
      <c r="T67" s="2"/>
      <c r="U67" s="2"/>
      <c r="V67" s="55"/>
      <c r="W67" s="55"/>
      <c r="X67" s="55"/>
      <c r="Y67" s="58"/>
      <c r="Z67" s="55"/>
      <c r="AA67" s="54"/>
      <c r="AB67" s="55"/>
      <c r="AC67" s="55"/>
    </row>
    <row r="68">
      <c r="A68" s="66"/>
      <c r="B68" s="24"/>
      <c r="C68" s="35"/>
      <c r="D68" s="77"/>
      <c r="E68" s="2"/>
      <c r="F68" s="20"/>
      <c r="G68" s="2"/>
      <c r="H68" s="2"/>
      <c r="I68" s="2"/>
      <c r="J68" s="55"/>
      <c r="K68" s="2"/>
      <c r="L68" s="20"/>
      <c r="M68" s="59">
        <v>45939.0</v>
      </c>
      <c r="N68" s="60" t="s">
        <v>102</v>
      </c>
      <c r="O68" s="60" t="s">
        <v>70</v>
      </c>
      <c r="P68" s="60" t="s">
        <v>23</v>
      </c>
      <c r="Q68" s="62">
        <v>20.97</v>
      </c>
      <c r="R68" s="60" t="s">
        <v>17</v>
      </c>
      <c r="S68" s="9"/>
      <c r="T68" s="2"/>
      <c r="U68" s="2"/>
      <c r="V68" s="55"/>
      <c r="W68" s="55"/>
      <c r="X68" s="55"/>
      <c r="Y68" s="58"/>
      <c r="Z68" s="55"/>
      <c r="AA68" s="54"/>
      <c r="AB68" s="55"/>
      <c r="AC68" s="55"/>
    </row>
    <row r="69">
      <c r="A69" s="66"/>
      <c r="B69" s="24"/>
      <c r="C69" s="35"/>
      <c r="D69" s="77"/>
      <c r="E69" s="2"/>
      <c r="F69" s="20"/>
      <c r="G69" s="2"/>
      <c r="H69" s="2"/>
      <c r="I69" s="2"/>
      <c r="J69" s="55"/>
      <c r="K69" s="2"/>
      <c r="L69" s="20"/>
      <c r="M69" s="59">
        <v>45940.0</v>
      </c>
      <c r="N69" s="60" t="s">
        <v>126</v>
      </c>
      <c r="O69" s="60" t="s">
        <v>50</v>
      </c>
      <c r="P69" s="60" t="s">
        <v>23</v>
      </c>
      <c r="Q69" s="62">
        <v>200.0</v>
      </c>
      <c r="R69" s="60" t="s">
        <v>17</v>
      </c>
      <c r="S69" s="9"/>
      <c r="T69" s="2"/>
      <c r="U69" s="2"/>
      <c r="V69" s="55"/>
      <c r="W69" s="55"/>
      <c r="X69" s="55"/>
      <c r="Y69" s="58"/>
      <c r="Z69" s="55"/>
      <c r="AA69" s="54"/>
      <c r="AB69" s="55"/>
      <c r="AC69" s="55"/>
    </row>
    <row r="70">
      <c r="A70" s="66"/>
      <c r="B70" s="24"/>
      <c r="C70" s="35"/>
      <c r="D70" s="77"/>
      <c r="E70" s="2"/>
      <c r="F70" s="20"/>
      <c r="G70" s="2"/>
      <c r="H70" s="2"/>
      <c r="I70" s="2"/>
      <c r="J70" s="55"/>
      <c r="K70" s="2"/>
      <c r="L70" s="20"/>
      <c r="M70" s="59">
        <v>45940.0</v>
      </c>
      <c r="N70" s="60" t="s">
        <v>127</v>
      </c>
      <c r="O70" s="60" t="s">
        <v>37</v>
      </c>
      <c r="P70" s="61">
        <v>45689.0</v>
      </c>
      <c r="Q70" s="62">
        <v>75.0</v>
      </c>
      <c r="R70" s="60" t="s">
        <v>17</v>
      </c>
      <c r="S70" s="9"/>
      <c r="T70" s="2"/>
      <c r="U70" s="2"/>
      <c r="V70" s="55"/>
      <c r="W70" s="55"/>
      <c r="X70" s="55"/>
      <c r="Y70" s="58"/>
      <c r="Z70" s="55"/>
      <c r="AA70" s="54"/>
      <c r="AB70" s="55"/>
      <c r="AC70" s="55"/>
    </row>
    <row r="71">
      <c r="A71" s="66"/>
      <c r="B71" s="24"/>
      <c r="C71" s="35"/>
      <c r="D71" s="77"/>
      <c r="E71" s="2"/>
      <c r="F71" s="20"/>
      <c r="G71" s="2"/>
      <c r="H71" s="2"/>
      <c r="I71" s="2"/>
      <c r="J71" s="55"/>
      <c r="K71" s="2"/>
      <c r="L71" s="20"/>
      <c r="M71" s="59">
        <v>45940.0</v>
      </c>
      <c r="N71" s="60" t="s">
        <v>128</v>
      </c>
      <c r="O71" s="60" t="s">
        <v>70</v>
      </c>
      <c r="P71" s="60" t="s">
        <v>23</v>
      </c>
      <c r="Q71" s="62">
        <v>16.6</v>
      </c>
      <c r="R71" s="60" t="s">
        <v>17</v>
      </c>
      <c r="S71" s="9"/>
      <c r="T71" s="2"/>
      <c r="U71" s="2"/>
      <c r="V71" s="55"/>
      <c r="W71" s="55"/>
      <c r="X71" s="55"/>
      <c r="Y71" s="58"/>
      <c r="Z71" s="55"/>
      <c r="AA71" s="54"/>
      <c r="AB71" s="55"/>
      <c r="AC71" s="55"/>
    </row>
    <row r="72">
      <c r="A72" s="66"/>
      <c r="B72" s="24"/>
      <c r="C72" s="35"/>
      <c r="D72" s="77"/>
      <c r="E72" s="2"/>
      <c r="F72" s="20"/>
      <c r="G72" s="2"/>
      <c r="H72" s="2"/>
      <c r="I72" s="2"/>
      <c r="J72" s="55"/>
      <c r="K72" s="2"/>
      <c r="L72" s="20"/>
      <c r="M72" s="59">
        <v>45940.0</v>
      </c>
      <c r="N72" s="60" t="s">
        <v>128</v>
      </c>
      <c r="O72" s="60" t="s">
        <v>70</v>
      </c>
      <c r="P72" s="60" t="s">
        <v>23</v>
      </c>
      <c r="Q72" s="62">
        <v>14.8</v>
      </c>
      <c r="R72" s="60" t="s">
        <v>17</v>
      </c>
      <c r="S72" s="9"/>
      <c r="T72" s="2"/>
      <c r="U72" s="2"/>
      <c r="V72" s="55"/>
      <c r="W72" s="55"/>
      <c r="X72" s="55"/>
      <c r="Y72" s="58"/>
      <c r="Z72" s="55"/>
      <c r="AA72" s="54"/>
      <c r="AB72" s="55"/>
      <c r="AC72" s="55"/>
    </row>
    <row r="73">
      <c r="A73" s="66"/>
      <c r="B73" s="24"/>
      <c r="C73" s="35"/>
      <c r="D73" s="77"/>
      <c r="E73" s="2"/>
      <c r="F73" s="20"/>
      <c r="G73" s="2"/>
      <c r="H73" s="2"/>
      <c r="I73" s="2"/>
      <c r="J73" s="55"/>
      <c r="K73" s="2"/>
      <c r="L73" s="20"/>
      <c r="M73" s="59">
        <v>45941.0</v>
      </c>
      <c r="N73" s="60" t="s">
        <v>129</v>
      </c>
      <c r="O73" s="60" t="s">
        <v>70</v>
      </c>
      <c r="P73" s="60" t="s">
        <v>23</v>
      </c>
      <c r="Q73" s="62">
        <v>18.05</v>
      </c>
      <c r="R73" s="60" t="s">
        <v>17</v>
      </c>
      <c r="S73" s="9"/>
      <c r="T73" s="2"/>
      <c r="U73" s="2"/>
      <c r="V73" s="55"/>
      <c r="W73" s="55"/>
      <c r="X73" s="55"/>
      <c r="Y73" s="58"/>
      <c r="Z73" s="55"/>
      <c r="AA73" s="54"/>
      <c r="AB73" s="55"/>
      <c r="AC73" s="55"/>
    </row>
    <row r="74">
      <c r="A74" s="66"/>
      <c r="B74" s="24"/>
      <c r="C74" s="35"/>
      <c r="D74" s="77"/>
      <c r="E74" s="2"/>
      <c r="F74" s="20"/>
      <c r="G74" s="2"/>
      <c r="H74" s="2"/>
      <c r="I74" s="2"/>
      <c r="J74" s="55"/>
      <c r="K74" s="2"/>
      <c r="L74" s="20"/>
      <c r="M74" s="59">
        <v>45941.0</v>
      </c>
      <c r="N74" s="60" t="s">
        <v>130</v>
      </c>
      <c r="O74" s="60" t="s">
        <v>66</v>
      </c>
      <c r="P74" s="60" t="s">
        <v>23</v>
      </c>
      <c r="Q74" s="62">
        <v>58.0</v>
      </c>
      <c r="R74" s="60" t="s">
        <v>17</v>
      </c>
      <c r="S74" s="9"/>
      <c r="T74" s="2"/>
      <c r="U74" s="2"/>
      <c r="V74" s="55"/>
      <c r="W74" s="55"/>
      <c r="X74" s="55"/>
      <c r="Y74" s="58"/>
      <c r="Z74" s="55"/>
      <c r="AA74" s="54"/>
      <c r="AB74" s="55"/>
      <c r="AC74" s="55"/>
    </row>
    <row r="75">
      <c r="A75" s="66"/>
      <c r="B75" s="24"/>
      <c r="C75" s="35"/>
      <c r="D75" s="77"/>
      <c r="E75" s="2"/>
      <c r="F75" s="20"/>
      <c r="G75" s="2"/>
      <c r="H75" s="2"/>
      <c r="I75" s="2"/>
      <c r="J75" s="55"/>
      <c r="K75" s="2"/>
      <c r="L75" s="20"/>
      <c r="M75" s="59">
        <v>45941.0</v>
      </c>
      <c r="N75" s="60" t="s">
        <v>131</v>
      </c>
      <c r="O75" s="60" t="s">
        <v>70</v>
      </c>
      <c r="P75" s="60" t="s">
        <v>23</v>
      </c>
      <c r="Q75" s="62">
        <v>19.55</v>
      </c>
      <c r="R75" s="60" t="s">
        <v>17</v>
      </c>
      <c r="S75" s="9"/>
      <c r="T75" s="2"/>
      <c r="U75" s="2"/>
      <c r="V75" s="55"/>
      <c r="W75" s="55"/>
      <c r="X75" s="55"/>
      <c r="Y75" s="58"/>
      <c r="Z75" s="55"/>
      <c r="AA75" s="54"/>
      <c r="AB75" s="55"/>
      <c r="AC75" s="55"/>
    </row>
    <row r="76">
      <c r="A76" s="66"/>
      <c r="B76" s="24"/>
      <c r="C76" s="35"/>
      <c r="D76" s="77"/>
      <c r="E76" s="2"/>
      <c r="F76" s="20"/>
      <c r="G76" s="2"/>
      <c r="H76" s="2"/>
      <c r="I76" s="2"/>
      <c r="J76" s="55"/>
      <c r="K76" s="2"/>
      <c r="L76" s="20"/>
      <c r="M76" s="59">
        <v>45941.0</v>
      </c>
      <c r="N76" s="60" t="s">
        <v>131</v>
      </c>
      <c r="O76" s="60" t="s">
        <v>70</v>
      </c>
      <c r="P76" s="60" t="s">
        <v>23</v>
      </c>
      <c r="Q76" s="62">
        <v>19.85</v>
      </c>
      <c r="R76" s="60" t="s">
        <v>17</v>
      </c>
      <c r="S76" s="9"/>
      <c r="T76" s="2"/>
      <c r="U76" s="2"/>
      <c r="V76" s="55"/>
      <c r="W76" s="55"/>
      <c r="X76" s="55"/>
      <c r="Y76" s="58"/>
      <c r="Z76" s="55"/>
      <c r="AA76" s="54"/>
      <c r="AB76" s="55"/>
      <c r="AC76" s="55"/>
    </row>
    <row r="77">
      <c r="A77" s="66"/>
      <c r="B77" s="24"/>
      <c r="C77" s="35"/>
      <c r="D77" s="77"/>
      <c r="E77" s="2"/>
      <c r="F77" s="20"/>
      <c r="G77" s="2"/>
      <c r="H77" s="2"/>
      <c r="I77" s="2"/>
      <c r="J77" s="55"/>
      <c r="K77" s="2"/>
      <c r="L77" s="20"/>
      <c r="M77" s="59">
        <v>45942.0</v>
      </c>
      <c r="N77" s="60" t="s">
        <v>132</v>
      </c>
      <c r="O77" s="60" t="s">
        <v>133</v>
      </c>
      <c r="P77" s="60" t="s">
        <v>23</v>
      </c>
      <c r="Q77" s="62">
        <v>174.9</v>
      </c>
      <c r="R77" s="60" t="s">
        <v>17</v>
      </c>
      <c r="S77" s="9"/>
      <c r="T77" s="2"/>
      <c r="U77" s="2"/>
      <c r="V77" s="55"/>
      <c r="W77" s="55"/>
      <c r="X77" s="55"/>
      <c r="Y77" s="58"/>
      <c r="Z77" s="55"/>
      <c r="AA77" s="54"/>
      <c r="AB77" s="55"/>
      <c r="AC77" s="55"/>
    </row>
    <row r="78">
      <c r="A78" s="66"/>
      <c r="B78" s="24"/>
      <c r="C78" s="35"/>
      <c r="D78" s="77"/>
      <c r="E78" s="2"/>
      <c r="F78" s="20"/>
      <c r="G78" s="2"/>
      <c r="H78" s="2"/>
      <c r="I78" s="2"/>
      <c r="J78" s="55"/>
      <c r="K78" s="2"/>
      <c r="L78" s="20"/>
      <c r="M78" s="40">
        <v>45943.0</v>
      </c>
      <c r="N78" s="37" t="s">
        <v>134</v>
      </c>
      <c r="O78" s="37" t="s">
        <v>66</v>
      </c>
      <c r="P78" s="38" t="s">
        <v>23</v>
      </c>
      <c r="Q78" s="38">
        <v>96.0</v>
      </c>
      <c r="R78" s="37" t="s">
        <v>38</v>
      </c>
      <c r="S78" s="9"/>
      <c r="T78" s="2"/>
      <c r="U78" s="2"/>
      <c r="V78" s="55"/>
      <c r="W78" s="55"/>
      <c r="X78" s="55"/>
      <c r="Y78" s="58"/>
      <c r="Z78" s="55"/>
      <c r="AA78" s="54"/>
      <c r="AB78" s="55"/>
      <c r="AC78" s="55"/>
    </row>
    <row r="79">
      <c r="A79" s="66"/>
      <c r="B79" s="24"/>
      <c r="C79" s="35"/>
      <c r="D79" s="77"/>
      <c r="E79" s="2"/>
      <c r="F79" s="20"/>
      <c r="G79" s="2"/>
      <c r="H79" s="2"/>
      <c r="I79" s="2"/>
      <c r="J79" s="55"/>
      <c r="K79" s="2"/>
      <c r="L79" s="20"/>
      <c r="M79" s="40">
        <v>45944.0</v>
      </c>
      <c r="N79" s="37" t="s">
        <v>135</v>
      </c>
      <c r="O79" s="37" t="s">
        <v>46</v>
      </c>
      <c r="P79" s="38" t="s">
        <v>23</v>
      </c>
      <c r="Q79" s="38">
        <v>50.0</v>
      </c>
      <c r="R79" s="37" t="s">
        <v>38</v>
      </c>
      <c r="S79" s="9"/>
      <c r="T79" s="2"/>
      <c r="U79" s="2"/>
      <c r="V79" s="55"/>
      <c r="W79" s="55"/>
      <c r="X79" s="55"/>
      <c r="Y79" s="58"/>
      <c r="Z79" s="55"/>
      <c r="AA79" s="54"/>
      <c r="AB79" s="55"/>
      <c r="AC79" s="55"/>
    </row>
    <row r="80">
      <c r="A80" s="66"/>
      <c r="B80" s="24"/>
      <c r="C80" s="35"/>
      <c r="D80" s="77"/>
      <c r="E80" s="2"/>
      <c r="F80" s="20"/>
      <c r="G80" s="2"/>
      <c r="H80" s="2"/>
      <c r="I80" s="2"/>
      <c r="J80" s="55"/>
      <c r="K80" s="2"/>
      <c r="L80" s="20"/>
      <c r="M80" s="59">
        <v>45944.0</v>
      </c>
      <c r="N80" s="60" t="s">
        <v>136</v>
      </c>
      <c r="O80" s="60" t="s">
        <v>70</v>
      </c>
      <c r="P80" s="60" t="s">
        <v>23</v>
      </c>
      <c r="Q80" s="62">
        <v>16.8</v>
      </c>
      <c r="R80" s="60" t="s">
        <v>17</v>
      </c>
      <c r="S80" s="9"/>
      <c r="T80" s="2"/>
      <c r="U80" s="2"/>
      <c r="V80" s="55"/>
      <c r="W80" s="55"/>
      <c r="X80" s="55"/>
      <c r="Y80" s="58"/>
      <c r="Z80" s="55"/>
      <c r="AA80" s="54"/>
      <c r="AB80" s="55"/>
      <c r="AC80" s="55"/>
    </row>
    <row r="81">
      <c r="A81" s="66"/>
      <c r="B81" s="24"/>
      <c r="C81" s="35"/>
      <c r="D81" s="77"/>
      <c r="E81" s="2"/>
      <c r="F81" s="20"/>
      <c r="G81" s="2"/>
      <c r="H81" s="2"/>
      <c r="I81" s="2"/>
      <c r="J81" s="55"/>
      <c r="K81" s="2"/>
      <c r="L81" s="20"/>
      <c r="M81" s="59">
        <v>45944.0</v>
      </c>
      <c r="N81" s="60" t="s">
        <v>137</v>
      </c>
      <c r="O81" s="60" t="s">
        <v>81</v>
      </c>
      <c r="P81" s="60" t="s">
        <v>23</v>
      </c>
      <c r="Q81" s="62">
        <v>5.19</v>
      </c>
      <c r="R81" s="60" t="s">
        <v>17</v>
      </c>
      <c r="S81" s="9"/>
      <c r="T81" s="2"/>
      <c r="U81" s="2"/>
      <c r="V81" s="55"/>
      <c r="W81" s="55"/>
      <c r="X81" s="55"/>
      <c r="Y81" s="58"/>
      <c r="Z81" s="55"/>
      <c r="AA81" s="54"/>
      <c r="AB81" s="55"/>
      <c r="AC81" s="55"/>
    </row>
    <row r="82">
      <c r="A82" s="66"/>
      <c r="B82" s="24"/>
      <c r="C82" s="35"/>
      <c r="D82" s="77"/>
      <c r="E82" s="2"/>
      <c r="F82" s="20"/>
      <c r="G82" s="2"/>
      <c r="H82" s="2"/>
      <c r="I82" s="2"/>
      <c r="J82" s="55"/>
      <c r="K82" s="2"/>
      <c r="L82" s="20"/>
      <c r="M82" s="59">
        <v>45945.0</v>
      </c>
      <c r="N82" s="60" t="s">
        <v>124</v>
      </c>
      <c r="O82" s="60" t="s">
        <v>81</v>
      </c>
      <c r="P82" s="60" t="s">
        <v>23</v>
      </c>
      <c r="Q82" s="62">
        <v>46.75</v>
      </c>
      <c r="R82" s="60" t="s">
        <v>17</v>
      </c>
      <c r="S82" s="9"/>
      <c r="T82" s="2"/>
      <c r="U82" s="2"/>
      <c r="V82" s="55"/>
      <c r="W82" s="55"/>
      <c r="X82" s="55"/>
      <c r="Y82" s="58"/>
      <c r="Z82" s="55"/>
      <c r="AA82" s="54"/>
      <c r="AB82" s="55"/>
      <c r="AC82" s="55"/>
    </row>
    <row r="83">
      <c r="A83" s="66"/>
      <c r="B83" s="24"/>
      <c r="C83" s="35"/>
      <c r="D83" s="77"/>
      <c r="E83" s="2"/>
      <c r="F83" s="20"/>
      <c r="G83" s="2"/>
      <c r="H83" s="2"/>
      <c r="I83" s="2"/>
      <c r="J83" s="55"/>
      <c r="K83" s="2"/>
      <c r="L83" s="20"/>
      <c r="M83" s="59">
        <v>45945.0</v>
      </c>
      <c r="N83" s="60" t="s">
        <v>138</v>
      </c>
      <c r="O83" s="60" t="s">
        <v>70</v>
      </c>
      <c r="P83" s="60" t="s">
        <v>23</v>
      </c>
      <c r="Q83" s="62">
        <v>12.45</v>
      </c>
      <c r="R83" s="60" t="s">
        <v>17</v>
      </c>
      <c r="S83" s="9"/>
      <c r="T83" s="2"/>
      <c r="U83" s="2"/>
      <c r="V83" s="55"/>
      <c r="W83" s="55"/>
      <c r="X83" s="55"/>
      <c r="Y83" s="58"/>
      <c r="Z83" s="55"/>
      <c r="AA83" s="54"/>
      <c r="AB83" s="55"/>
      <c r="AC83" s="55"/>
    </row>
    <row r="84">
      <c r="A84" s="66"/>
      <c r="B84" s="24"/>
      <c r="C84" s="35"/>
      <c r="D84" s="77"/>
      <c r="E84" s="2"/>
      <c r="F84" s="20"/>
      <c r="G84" s="2"/>
      <c r="H84" s="2"/>
      <c r="I84" s="2"/>
      <c r="J84" s="55"/>
      <c r="K84" s="2"/>
      <c r="L84" s="20"/>
      <c r="M84" s="59">
        <v>45946.0</v>
      </c>
      <c r="N84" s="60" t="s">
        <v>139</v>
      </c>
      <c r="O84" s="60" t="s">
        <v>133</v>
      </c>
      <c r="P84" s="61">
        <v>45901.0</v>
      </c>
      <c r="Q84" s="62">
        <v>99.82</v>
      </c>
      <c r="R84" s="60" t="s">
        <v>17</v>
      </c>
      <c r="S84" s="9"/>
      <c r="T84" s="2"/>
      <c r="U84" s="2"/>
      <c r="V84" s="55"/>
      <c r="W84" s="55"/>
      <c r="X84" s="55"/>
      <c r="Y84" s="58"/>
      <c r="Z84" s="55"/>
      <c r="AA84" s="54"/>
      <c r="AB84" s="55"/>
      <c r="AC84" s="55"/>
    </row>
    <row r="85">
      <c r="A85" s="66"/>
      <c r="B85" s="24"/>
      <c r="C85" s="35"/>
      <c r="D85" s="77"/>
      <c r="E85" s="2"/>
      <c r="F85" s="20"/>
      <c r="G85" s="2"/>
      <c r="H85" s="2"/>
      <c r="I85" s="2"/>
      <c r="J85" s="55"/>
      <c r="K85" s="2"/>
      <c r="L85" s="20"/>
      <c r="M85" s="59">
        <v>45946.0</v>
      </c>
      <c r="N85" s="60" t="s">
        <v>140</v>
      </c>
      <c r="O85" s="60" t="s">
        <v>133</v>
      </c>
      <c r="P85" s="60" t="s">
        <v>23</v>
      </c>
      <c r="Q85" s="62">
        <v>86.28</v>
      </c>
      <c r="R85" s="60" t="s">
        <v>17</v>
      </c>
      <c r="S85" s="9"/>
      <c r="T85" s="2"/>
      <c r="U85" s="2"/>
      <c r="V85" s="55"/>
      <c r="W85" s="55"/>
      <c r="X85" s="55"/>
      <c r="Y85" s="58"/>
      <c r="Z85" s="55"/>
      <c r="AA85" s="54"/>
      <c r="AB85" s="55"/>
      <c r="AC85" s="55"/>
    </row>
    <row r="86">
      <c r="A86" s="66"/>
      <c r="B86" s="24"/>
      <c r="C86" s="35"/>
      <c r="D86" s="77"/>
      <c r="E86" s="2"/>
      <c r="F86" s="20"/>
      <c r="G86" s="2"/>
      <c r="H86" s="2"/>
      <c r="I86" s="2"/>
      <c r="J86" s="55"/>
      <c r="K86" s="2"/>
      <c r="L86" s="20"/>
      <c r="M86" s="59">
        <v>45946.0</v>
      </c>
      <c r="N86" s="60" t="s">
        <v>103</v>
      </c>
      <c r="O86" s="60" t="s">
        <v>81</v>
      </c>
      <c r="P86" s="60" t="s">
        <v>23</v>
      </c>
      <c r="Q86" s="62">
        <v>3.5</v>
      </c>
      <c r="R86" s="60" t="s">
        <v>17</v>
      </c>
      <c r="S86" s="9"/>
      <c r="T86" s="2"/>
      <c r="U86" s="2"/>
      <c r="V86" s="55"/>
      <c r="W86" s="55"/>
      <c r="X86" s="55"/>
      <c r="Y86" s="58"/>
      <c r="Z86" s="55"/>
      <c r="AA86" s="54"/>
      <c r="AB86" s="55"/>
      <c r="AC86" s="55"/>
    </row>
    <row r="87">
      <c r="A87" s="66"/>
      <c r="B87" s="24"/>
      <c r="C87" s="35"/>
      <c r="D87" s="77"/>
      <c r="E87" s="2"/>
      <c r="F87" s="20"/>
      <c r="G87" s="2"/>
      <c r="H87" s="2"/>
      <c r="I87" s="2"/>
      <c r="J87" s="55"/>
      <c r="K87" s="2"/>
      <c r="L87" s="20"/>
      <c r="M87" s="59">
        <v>45946.0</v>
      </c>
      <c r="N87" s="60" t="s">
        <v>102</v>
      </c>
      <c r="O87" s="60" t="s">
        <v>70</v>
      </c>
      <c r="P87" s="60" t="s">
        <v>23</v>
      </c>
      <c r="Q87" s="62">
        <v>18.95</v>
      </c>
      <c r="R87" s="60" t="s">
        <v>17</v>
      </c>
      <c r="S87" s="9"/>
      <c r="T87" s="2"/>
      <c r="U87" s="2"/>
      <c r="V87" s="55"/>
      <c r="W87" s="55"/>
      <c r="X87" s="55"/>
      <c r="Y87" s="58"/>
      <c r="Z87" s="55"/>
      <c r="AA87" s="54"/>
      <c r="AB87" s="55"/>
      <c r="AC87" s="55"/>
    </row>
    <row r="88">
      <c r="A88" s="66"/>
      <c r="B88" s="24"/>
      <c r="C88" s="35"/>
      <c r="D88" s="77"/>
      <c r="E88" s="2"/>
      <c r="F88" s="20"/>
      <c r="G88" s="2"/>
      <c r="H88" s="2"/>
      <c r="I88" s="2"/>
      <c r="J88" s="55"/>
      <c r="K88" s="2"/>
      <c r="L88" s="20"/>
      <c r="M88" s="59">
        <v>45947.0</v>
      </c>
      <c r="N88" s="60" t="s">
        <v>141</v>
      </c>
      <c r="O88" s="60" t="s">
        <v>70</v>
      </c>
      <c r="P88" s="60" t="s">
        <v>23</v>
      </c>
      <c r="Q88" s="62">
        <v>28.5</v>
      </c>
      <c r="R88" s="60" t="s">
        <v>17</v>
      </c>
      <c r="S88" s="9"/>
      <c r="T88" s="2"/>
      <c r="U88" s="2"/>
      <c r="V88" s="55"/>
      <c r="W88" s="55"/>
      <c r="X88" s="55"/>
      <c r="Y88" s="58"/>
      <c r="Z88" s="55"/>
      <c r="AA88" s="54"/>
      <c r="AB88" s="55"/>
      <c r="AC88" s="55"/>
    </row>
    <row r="89">
      <c r="A89" s="66"/>
      <c r="B89" s="24"/>
      <c r="C89" s="35"/>
      <c r="D89" s="77"/>
      <c r="E89" s="2"/>
      <c r="F89" s="20"/>
      <c r="G89" s="2"/>
      <c r="H89" s="2"/>
      <c r="I89" s="2"/>
      <c r="J89" s="55"/>
      <c r="K89" s="2"/>
      <c r="L89" s="20"/>
      <c r="M89" s="59">
        <v>45947.0</v>
      </c>
      <c r="N89" s="60" t="s">
        <v>142</v>
      </c>
      <c r="O89" s="60" t="s">
        <v>66</v>
      </c>
      <c r="P89" s="60" t="s">
        <v>23</v>
      </c>
      <c r="Q89" s="62">
        <v>146.72</v>
      </c>
      <c r="R89" s="60" t="s">
        <v>17</v>
      </c>
      <c r="S89" s="9"/>
      <c r="T89" s="2"/>
      <c r="U89" s="2"/>
      <c r="V89" s="55"/>
      <c r="W89" s="55"/>
      <c r="X89" s="55"/>
      <c r="Y89" s="58"/>
      <c r="Z89" s="55"/>
      <c r="AA89" s="54"/>
      <c r="AB89" s="55"/>
      <c r="AC89" s="55"/>
    </row>
    <row r="90">
      <c r="A90" s="66"/>
      <c r="B90" s="24"/>
      <c r="C90" s="35"/>
      <c r="D90" s="77"/>
      <c r="E90" s="2"/>
      <c r="F90" s="20"/>
      <c r="G90" s="2"/>
      <c r="H90" s="2"/>
      <c r="I90" s="2"/>
      <c r="J90" s="55"/>
      <c r="K90" s="2"/>
      <c r="L90" s="20"/>
      <c r="M90" s="59">
        <v>45948.0</v>
      </c>
      <c r="N90" s="60" t="s">
        <v>143</v>
      </c>
      <c r="O90" s="60" t="s">
        <v>66</v>
      </c>
      <c r="P90" s="60" t="s">
        <v>23</v>
      </c>
      <c r="Q90" s="62">
        <v>120.0</v>
      </c>
      <c r="R90" s="60" t="s">
        <v>17</v>
      </c>
      <c r="S90" s="9"/>
      <c r="T90" s="2"/>
      <c r="U90" s="2"/>
      <c r="V90" s="55"/>
      <c r="W90" s="55"/>
      <c r="X90" s="55"/>
      <c r="Y90" s="58"/>
      <c r="Z90" s="55"/>
      <c r="AA90" s="54"/>
      <c r="AB90" s="55"/>
      <c r="AC90" s="55"/>
    </row>
    <row r="91">
      <c r="A91" s="66"/>
      <c r="B91" s="24"/>
      <c r="C91" s="35"/>
      <c r="D91" s="77"/>
      <c r="E91" s="2"/>
      <c r="F91" s="20"/>
      <c r="G91" s="2"/>
      <c r="H91" s="2"/>
      <c r="I91" s="2"/>
      <c r="J91" s="55"/>
      <c r="K91" s="2"/>
      <c r="L91" s="20"/>
      <c r="M91" s="59">
        <v>45948.0</v>
      </c>
      <c r="N91" s="60" t="s">
        <v>144</v>
      </c>
      <c r="O91" s="60" t="s">
        <v>70</v>
      </c>
      <c r="P91" s="60" t="s">
        <v>23</v>
      </c>
      <c r="Q91" s="62">
        <v>20.2</v>
      </c>
      <c r="R91" s="60" t="s">
        <v>17</v>
      </c>
      <c r="S91" s="9"/>
      <c r="T91" s="2"/>
      <c r="U91" s="2"/>
      <c r="V91" s="55"/>
      <c r="W91" s="55"/>
      <c r="X91" s="55"/>
      <c r="Y91" s="58"/>
      <c r="Z91" s="55"/>
      <c r="AA91" s="54"/>
      <c r="AB91" s="55"/>
      <c r="AC91" s="55"/>
    </row>
    <row r="92">
      <c r="A92" s="66"/>
      <c r="B92" s="24"/>
      <c r="C92" s="35"/>
      <c r="D92" s="77"/>
      <c r="E92" s="2"/>
      <c r="F92" s="20"/>
      <c r="G92" s="2"/>
      <c r="H92" s="2"/>
      <c r="I92" s="2"/>
      <c r="J92" s="55"/>
      <c r="K92" s="2"/>
      <c r="L92" s="20"/>
      <c r="M92" s="59">
        <v>45948.0</v>
      </c>
      <c r="N92" s="60" t="s">
        <v>144</v>
      </c>
      <c r="O92" s="60" t="s">
        <v>70</v>
      </c>
      <c r="P92" s="60" t="s">
        <v>23</v>
      </c>
      <c r="Q92" s="62">
        <v>12.3</v>
      </c>
      <c r="R92" s="60" t="s">
        <v>17</v>
      </c>
      <c r="S92" s="9"/>
      <c r="T92" s="2"/>
      <c r="U92" s="2"/>
      <c r="V92" s="55"/>
      <c r="W92" s="55"/>
      <c r="X92" s="55"/>
      <c r="Y92" s="58"/>
      <c r="Z92" s="55"/>
      <c r="AA92" s="54"/>
      <c r="AB92" s="55"/>
      <c r="AC92" s="55"/>
    </row>
    <row r="93">
      <c r="A93" s="66"/>
      <c r="B93" s="24"/>
      <c r="C93" s="2"/>
      <c r="D93" s="2"/>
      <c r="E93" s="2"/>
      <c r="F93" s="20"/>
      <c r="G93" s="2"/>
      <c r="H93" s="2"/>
      <c r="I93" s="2"/>
      <c r="J93" s="55"/>
      <c r="K93" s="2"/>
      <c r="L93" s="20"/>
      <c r="M93" s="59">
        <v>45948.0</v>
      </c>
      <c r="N93" s="60" t="s">
        <v>145</v>
      </c>
      <c r="O93" s="60" t="s">
        <v>66</v>
      </c>
      <c r="P93" s="60" t="s">
        <v>23</v>
      </c>
      <c r="Q93" s="62">
        <v>40.0</v>
      </c>
      <c r="R93" s="60" t="s">
        <v>17</v>
      </c>
      <c r="S93" s="9"/>
      <c r="T93" s="2"/>
      <c r="U93" s="2"/>
      <c r="V93" s="55"/>
      <c r="W93" s="55"/>
      <c r="X93" s="55"/>
      <c r="Y93" s="58"/>
      <c r="Z93" s="55"/>
      <c r="AA93" s="54"/>
      <c r="AB93" s="55"/>
      <c r="AC93" s="55"/>
    </row>
    <row r="94">
      <c r="A94" s="66"/>
      <c r="B94" s="24"/>
      <c r="C94" s="2"/>
      <c r="D94" s="2"/>
      <c r="E94" s="2"/>
      <c r="F94" s="87"/>
      <c r="G94" s="3"/>
      <c r="H94" s="3"/>
      <c r="I94" s="3"/>
      <c r="J94" s="88"/>
      <c r="K94" s="3"/>
      <c r="L94" s="20"/>
      <c r="M94" s="59">
        <v>45948.0</v>
      </c>
      <c r="N94" s="60" t="s">
        <v>146</v>
      </c>
      <c r="O94" s="60" t="s">
        <v>70</v>
      </c>
      <c r="P94" s="60" t="s">
        <v>23</v>
      </c>
      <c r="Q94" s="62">
        <v>34.94</v>
      </c>
      <c r="R94" s="60" t="s">
        <v>17</v>
      </c>
      <c r="S94" s="9"/>
      <c r="T94" s="2"/>
      <c r="U94" s="2"/>
      <c r="V94" s="55"/>
      <c r="W94" s="55"/>
      <c r="X94" s="55"/>
      <c r="Y94" s="58"/>
      <c r="Z94" s="55"/>
      <c r="AA94" s="54"/>
      <c r="AB94" s="55"/>
      <c r="AC94" s="55"/>
    </row>
    <row r="95">
      <c r="A95" s="66"/>
      <c r="B95" s="24"/>
      <c r="C95" s="2"/>
      <c r="D95" s="2"/>
      <c r="E95" s="4"/>
      <c r="F95" s="2"/>
      <c r="G95" s="2"/>
      <c r="H95" s="2"/>
      <c r="I95" s="2"/>
      <c r="J95" s="55"/>
      <c r="K95" s="2"/>
      <c r="L95" s="20"/>
      <c r="M95" s="40">
        <v>45951.0</v>
      </c>
      <c r="N95" s="37" t="s">
        <v>147</v>
      </c>
      <c r="O95" s="37" t="s">
        <v>133</v>
      </c>
      <c r="P95" s="89">
        <v>0.3</v>
      </c>
      <c r="Q95" s="38">
        <v>300.0</v>
      </c>
      <c r="R95" s="37" t="s">
        <v>38</v>
      </c>
      <c r="S95" s="9"/>
      <c r="T95" s="2"/>
      <c r="U95" s="2"/>
      <c r="V95" s="55"/>
      <c r="W95" s="55"/>
      <c r="X95" s="55"/>
      <c r="Y95" s="58"/>
      <c r="Z95" s="55"/>
      <c r="AA95" s="54"/>
      <c r="AB95" s="55"/>
      <c r="AC95" s="55"/>
    </row>
    <row r="96">
      <c r="A96" s="66"/>
      <c r="B96" s="24"/>
      <c r="C96" s="2"/>
      <c r="D96" s="2"/>
      <c r="E96" s="4"/>
      <c r="F96" s="2"/>
      <c r="G96" s="2"/>
      <c r="H96" s="2"/>
      <c r="I96" s="2"/>
      <c r="J96" s="55"/>
      <c r="K96" s="2"/>
      <c r="L96" s="20"/>
      <c r="M96" s="40">
        <v>45958.0</v>
      </c>
      <c r="N96" s="37" t="s">
        <v>148</v>
      </c>
      <c r="O96" s="37" t="s">
        <v>27</v>
      </c>
      <c r="P96" s="36" t="s">
        <v>23</v>
      </c>
      <c r="Q96" s="38">
        <v>100.0</v>
      </c>
      <c r="R96" s="37" t="s">
        <v>38</v>
      </c>
      <c r="S96" s="9"/>
      <c r="T96" s="2"/>
      <c r="U96" s="2"/>
      <c r="V96" s="55"/>
      <c r="W96" s="55"/>
      <c r="X96" s="55"/>
      <c r="Y96" s="58"/>
      <c r="Z96" s="55"/>
      <c r="AA96" s="54"/>
      <c r="AB96" s="55"/>
      <c r="AC96" s="55"/>
    </row>
    <row r="97">
      <c r="A97" s="66"/>
      <c r="B97" s="24"/>
      <c r="C97" s="2"/>
      <c r="D97" s="2"/>
      <c r="E97" s="4"/>
      <c r="F97" s="2"/>
      <c r="G97" s="2"/>
      <c r="H97" s="2"/>
      <c r="I97" s="2"/>
      <c r="J97" s="55"/>
      <c r="K97" s="2"/>
      <c r="L97" s="20"/>
      <c r="M97" s="40">
        <v>45961.0</v>
      </c>
      <c r="N97" s="37" t="s">
        <v>149</v>
      </c>
      <c r="O97" s="37" t="s">
        <v>27</v>
      </c>
      <c r="P97" s="37" t="s">
        <v>23</v>
      </c>
      <c r="Q97" s="38">
        <v>30.0</v>
      </c>
      <c r="R97" s="37" t="s">
        <v>38</v>
      </c>
      <c r="S97" s="9"/>
      <c r="T97" s="2"/>
      <c r="U97" s="2"/>
      <c r="V97" s="55"/>
      <c r="W97" s="55"/>
      <c r="X97" s="55"/>
      <c r="Y97" s="58"/>
      <c r="Z97" s="55"/>
      <c r="AA97" s="54"/>
      <c r="AB97" s="55"/>
      <c r="AC97" s="55"/>
    </row>
    <row r="98">
      <c r="A98" s="2"/>
      <c r="B98" s="2"/>
      <c r="C98" s="2"/>
      <c r="D98" s="2"/>
      <c r="E98" s="4"/>
      <c r="F98" s="2"/>
      <c r="G98" s="78"/>
      <c r="H98" s="78"/>
      <c r="I98" s="78"/>
      <c r="J98" s="78"/>
      <c r="K98" s="78"/>
      <c r="L98" s="9"/>
      <c r="M98" s="90"/>
      <c r="N98" s="30" t="s">
        <v>47</v>
      </c>
      <c r="O98" s="91"/>
      <c r="P98" s="92"/>
      <c r="Q98" s="92">
        <f>SUM(Q9:Q97)</f>
        <v>4916.49</v>
      </c>
      <c r="R98" s="91"/>
      <c r="S98" s="4"/>
      <c r="AA98" s="54"/>
      <c r="AB98" s="55"/>
      <c r="AC98" s="55"/>
    </row>
    <row r="99">
      <c r="A99" s="2"/>
      <c r="B99" s="2"/>
      <c r="C99" s="15"/>
      <c r="D99" s="15"/>
      <c r="E99" s="4"/>
      <c r="F99" s="2"/>
      <c r="G99" s="2"/>
      <c r="H99" s="2"/>
      <c r="I99" s="2"/>
      <c r="J99" s="2"/>
      <c r="K99" s="2"/>
      <c r="L99" s="9"/>
      <c r="M99" s="2"/>
      <c r="N99" s="2"/>
      <c r="O99" s="2"/>
      <c r="P99" s="2"/>
      <c r="Q99" s="2"/>
      <c r="R99" s="2"/>
      <c r="S99" s="2"/>
      <c r="T99" s="2"/>
      <c r="U99" s="2"/>
      <c r="V99" s="2"/>
      <c r="W99" s="15"/>
      <c r="X99" s="15"/>
      <c r="Y99" s="15"/>
      <c r="Z99" s="15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78"/>
      <c r="D101" s="78"/>
      <c r="E101" s="78"/>
      <c r="F101" s="2"/>
      <c r="G101" s="2"/>
      <c r="H101" s="2"/>
      <c r="I101" s="2"/>
      <c r="J101" s="2"/>
      <c r="K101" s="2"/>
      <c r="L101" s="2"/>
      <c r="M101" s="93" t="s">
        <v>150</v>
      </c>
      <c r="N101" s="17"/>
      <c r="O101" s="17"/>
      <c r="P101" s="17"/>
      <c r="Q101" s="17"/>
      <c r="R101" s="18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78"/>
      <c r="D102" s="78"/>
      <c r="E102" s="78"/>
      <c r="F102" s="2"/>
      <c r="G102" s="2"/>
      <c r="H102" s="2"/>
      <c r="I102" s="2"/>
      <c r="J102" s="2"/>
      <c r="K102" s="2"/>
      <c r="L102" s="2"/>
      <c r="M102" s="94" t="s">
        <v>5</v>
      </c>
      <c r="N102" s="94" t="s">
        <v>6</v>
      </c>
      <c r="O102" s="94" t="s">
        <v>9</v>
      </c>
      <c r="P102" s="95" t="s">
        <v>10</v>
      </c>
      <c r="Q102" s="95" t="s">
        <v>7</v>
      </c>
      <c r="R102" s="94" t="s">
        <v>8</v>
      </c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78"/>
      <c r="D103" s="78"/>
      <c r="E103" s="78"/>
      <c r="F103" s="2"/>
      <c r="G103" s="2"/>
      <c r="H103" s="2"/>
      <c r="I103" s="2"/>
      <c r="J103" s="2"/>
      <c r="K103" s="2"/>
      <c r="L103" s="2"/>
      <c r="M103" s="40">
        <v>45751.0</v>
      </c>
      <c r="N103" s="37" t="s">
        <v>20</v>
      </c>
      <c r="O103" s="37" t="s">
        <v>16</v>
      </c>
      <c r="P103" s="41">
        <v>45907.0</v>
      </c>
      <c r="Q103" s="38">
        <v>99.99</v>
      </c>
      <c r="R103" s="37" t="s">
        <v>17</v>
      </c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78"/>
      <c r="D104" s="78"/>
      <c r="E104" s="78"/>
      <c r="F104" s="2"/>
      <c r="G104" s="2"/>
      <c r="H104" s="2"/>
      <c r="I104" s="2"/>
      <c r="J104" s="2"/>
      <c r="K104" s="2"/>
      <c r="L104" s="2"/>
      <c r="M104" s="40">
        <v>45804.0</v>
      </c>
      <c r="N104" s="37" t="s">
        <v>26</v>
      </c>
      <c r="O104" s="37" t="s">
        <v>27</v>
      </c>
      <c r="P104" s="41">
        <v>45782.0</v>
      </c>
      <c r="Q104" s="38">
        <v>46.78</v>
      </c>
      <c r="R104" s="37" t="s">
        <v>21</v>
      </c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78"/>
      <c r="D105" s="78"/>
      <c r="E105" s="78"/>
      <c r="F105" s="2"/>
      <c r="G105" s="2"/>
      <c r="H105" s="2"/>
      <c r="I105" s="2"/>
      <c r="J105" s="2"/>
      <c r="K105" s="2"/>
      <c r="L105" s="2"/>
      <c r="M105" s="40">
        <v>45857.0</v>
      </c>
      <c r="N105" s="37" t="s">
        <v>32</v>
      </c>
      <c r="O105" s="37" t="s">
        <v>27</v>
      </c>
      <c r="P105" s="41">
        <v>45719.0</v>
      </c>
      <c r="Q105" s="38">
        <v>95.08</v>
      </c>
      <c r="R105" s="37" t="s">
        <v>17</v>
      </c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78"/>
      <c r="D106" s="78"/>
      <c r="E106" s="78"/>
      <c r="F106" s="2"/>
      <c r="G106" s="2"/>
      <c r="H106" s="2"/>
      <c r="I106" s="2"/>
      <c r="J106" s="2"/>
      <c r="K106" s="2"/>
      <c r="L106" s="2"/>
      <c r="M106" s="40">
        <v>45891.0</v>
      </c>
      <c r="N106" s="37" t="s">
        <v>39</v>
      </c>
      <c r="O106" s="37" t="s">
        <v>19</v>
      </c>
      <c r="P106" s="41">
        <v>45718.0</v>
      </c>
      <c r="Q106" s="38">
        <v>390.22</v>
      </c>
      <c r="R106" s="37" t="s">
        <v>17</v>
      </c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78"/>
      <c r="D107" s="78"/>
      <c r="E107" s="78"/>
      <c r="F107" s="2"/>
      <c r="G107" s="2"/>
      <c r="H107" s="2"/>
      <c r="I107" s="2"/>
      <c r="J107" s="2"/>
      <c r="K107" s="2"/>
      <c r="L107" s="2"/>
      <c r="M107" s="40">
        <v>45894.0</v>
      </c>
      <c r="N107" s="37" t="s">
        <v>45</v>
      </c>
      <c r="O107" s="37" t="s">
        <v>46</v>
      </c>
      <c r="P107" s="41">
        <v>45690.0</v>
      </c>
      <c r="Q107" s="38">
        <v>54.75</v>
      </c>
      <c r="R107" s="37" t="s">
        <v>17</v>
      </c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78"/>
      <c r="D108" s="78"/>
      <c r="E108" s="78"/>
      <c r="F108" s="2"/>
      <c r="G108" s="2"/>
      <c r="H108" s="2"/>
      <c r="I108" s="2"/>
      <c r="J108" s="2"/>
      <c r="K108" s="2"/>
      <c r="L108" s="2"/>
      <c r="M108" s="40">
        <v>45905.0</v>
      </c>
      <c r="N108" s="37" t="s">
        <v>51</v>
      </c>
      <c r="O108" s="37" t="s">
        <v>16</v>
      </c>
      <c r="P108" s="41">
        <v>45902.0</v>
      </c>
      <c r="Q108" s="38">
        <v>100.07</v>
      </c>
      <c r="R108" s="37" t="s">
        <v>17</v>
      </c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78"/>
      <c r="D109" s="78"/>
      <c r="E109" s="78"/>
      <c r="F109" s="2"/>
      <c r="G109" s="2"/>
      <c r="H109" s="2"/>
      <c r="I109" s="2"/>
      <c r="J109" s="2"/>
      <c r="K109" s="2"/>
      <c r="L109" s="2"/>
      <c r="M109" s="40">
        <v>45905.0</v>
      </c>
      <c r="N109" s="37" t="s">
        <v>54</v>
      </c>
      <c r="O109" s="37" t="s">
        <v>55</v>
      </c>
      <c r="P109" s="41">
        <v>45718.0</v>
      </c>
      <c r="Q109" s="38">
        <v>112.32</v>
      </c>
      <c r="R109" s="37" t="s">
        <v>17</v>
      </c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40">
        <v>45905.0</v>
      </c>
      <c r="N110" s="37" t="s">
        <v>58</v>
      </c>
      <c r="O110" s="37" t="s">
        <v>59</v>
      </c>
      <c r="P110" s="41">
        <v>45690.0</v>
      </c>
      <c r="Q110" s="38">
        <v>57.0</v>
      </c>
      <c r="R110" s="37" t="s">
        <v>17</v>
      </c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59">
        <v>45916.0</v>
      </c>
      <c r="N111" s="60" t="s">
        <v>62</v>
      </c>
      <c r="O111" s="60" t="s">
        <v>46</v>
      </c>
      <c r="P111" s="61">
        <v>45690.0</v>
      </c>
      <c r="Q111" s="62">
        <v>87.95</v>
      </c>
      <c r="R111" s="60" t="s">
        <v>17</v>
      </c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96">
        <v>45921.0</v>
      </c>
      <c r="N112" s="97" t="s">
        <v>75</v>
      </c>
      <c r="O112" s="97" t="s">
        <v>27</v>
      </c>
      <c r="P112" s="98">
        <v>45689.0</v>
      </c>
      <c r="Q112" s="99">
        <v>56.5</v>
      </c>
      <c r="R112" s="97" t="s">
        <v>17</v>
      </c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96">
        <v>45926.0</v>
      </c>
      <c r="N113" s="97" t="s">
        <v>88</v>
      </c>
      <c r="O113" s="97" t="s">
        <v>55</v>
      </c>
      <c r="P113" s="98">
        <v>45717.0</v>
      </c>
      <c r="Q113" s="99">
        <v>106.66</v>
      </c>
      <c r="R113" s="97" t="s">
        <v>17</v>
      </c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96">
        <v>45926.0</v>
      </c>
      <c r="N114" s="97" t="s">
        <v>90</v>
      </c>
      <c r="O114" s="97" t="s">
        <v>46</v>
      </c>
      <c r="P114" s="98">
        <v>45689.0</v>
      </c>
      <c r="Q114" s="99">
        <v>51.75</v>
      </c>
      <c r="R114" s="97" t="s">
        <v>17</v>
      </c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96">
        <v>45933.0</v>
      </c>
      <c r="N115" s="97" t="s">
        <v>106</v>
      </c>
      <c r="O115" s="97" t="s">
        <v>55</v>
      </c>
      <c r="P115" s="98">
        <v>45689.0</v>
      </c>
      <c r="Q115" s="99">
        <v>100.0</v>
      </c>
      <c r="R115" s="97" t="s">
        <v>17</v>
      </c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96">
        <v>45937.0</v>
      </c>
      <c r="N116" s="97" t="s">
        <v>118</v>
      </c>
      <c r="O116" s="97" t="s">
        <v>55</v>
      </c>
      <c r="P116" s="98">
        <v>45689.0</v>
      </c>
      <c r="Q116" s="99">
        <v>40.5</v>
      </c>
      <c r="R116" s="97" t="s">
        <v>17</v>
      </c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96">
        <v>45937.0</v>
      </c>
      <c r="N117" s="97" t="s">
        <v>121</v>
      </c>
      <c r="O117" s="97" t="s">
        <v>55</v>
      </c>
      <c r="P117" s="98">
        <v>45689.0</v>
      </c>
      <c r="Q117" s="99">
        <v>66.0</v>
      </c>
      <c r="R117" s="97" t="s">
        <v>17</v>
      </c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96">
        <v>45938.0</v>
      </c>
      <c r="N118" s="97" t="s">
        <v>125</v>
      </c>
      <c r="O118" s="97" t="s">
        <v>50</v>
      </c>
      <c r="P118" s="98">
        <v>45689.0</v>
      </c>
      <c r="Q118" s="99">
        <v>62.4</v>
      </c>
      <c r="R118" s="97" t="s">
        <v>17</v>
      </c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96">
        <v>45940.0</v>
      </c>
      <c r="N119" s="97" t="s">
        <v>127</v>
      </c>
      <c r="O119" s="97" t="s">
        <v>37</v>
      </c>
      <c r="P119" s="98">
        <v>45689.0</v>
      </c>
      <c r="Q119" s="99">
        <v>75.0</v>
      </c>
      <c r="R119" s="97" t="s">
        <v>17</v>
      </c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96">
        <v>45946.0</v>
      </c>
      <c r="N120" s="97" t="s">
        <v>139</v>
      </c>
      <c r="O120" s="97" t="s">
        <v>133</v>
      </c>
      <c r="P120" s="98">
        <v>45901.0</v>
      </c>
      <c r="Q120" s="99">
        <v>99.82</v>
      </c>
      <c r="R120" s="97" t="s">
        <v>17</v>
      </c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96">
        <v>45951.0</v>
      </c>
      <c r="N121" s="97" t="s">
        <v>147</v>
      </c>
      <c r="O121" s="97" t="s">
        <v>133</v>
      </c>
      <c r="P121" s="100">
        <v>0.3</v>
      </c>
      <c r="Q121" s="99">
        <v>300.0</v>
      </c>
      <c r="R121" s="97" t="s">
        <v>38</v>
      </c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4"/>
      <c r="M122" s="101"/>
      <c r="N122" s="101"/>
      <c r="O122" s="101"/>
      <c r="P122" s="101"/>
      <c r="Q122" s="101"/>
      <c r="R122" s="101"/>
      <c r="S122" s="9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4"/>
      <c r="M123" s="101"/>
      <c r="N123" s="101"/>
      <c r="O123" s="101"/>
      <c r="P123" s="101"/>
      <c r="Q123" s="101"/>
      <c r="R123" s="101"/>
      <c r="S123" s="9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4"/>
      <c r="M124" s="102"/>
      <c r="N124" s="103" t="s">
        <v>47</v>
      </c>
      <c r="O124" s="102"/>
      <c r="P124" s="104"/>
      <c r="Q124" s="104">
        <f>SUM(Q103:Q123)</f>
        <v>2002.79</v>
      </c>
      <c r="R124" s="102"/>
      <c r="S124" s="9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5"/>
      <c r="N125" s="15"/>
      <c r="O125" s="15"/>
      <c r="P125" s="15"/>
      <c r="Q125" s="15"/>
      <c r="R125" s="15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</row>
  </sheetData>
  <autoFilter ref="$M$8:$R$98"/>
  <mergeCells count="7">
    <mergeCell ref="G2:I4"/>
    <mergeCell ref="B7:E7"/>
    <mergeCell ref="G7:K7"/>
    <mergeCell ref="M7:R7"/>
    <mergeCell ref="T7:Z7"/>
    <mergeCell ref="C25:E25"/>
    <mergeCell ref="M101:R101"/>
  </mergeCells>
  <dataValidations>
    <dataValidation type="list" allowBlank="1" showErrorMessage="1" sqref="K9:K12 E9:E19 K14:K19 R9:R97 R103:R121">
      <formula1>"Pix,Itaú,Nubank,Dinheiro"</formula1>
    </dataValidation>
    <dataValidation type="list" allowBlank="1" showErrorMessage="1" sqref="K13">
      <formula1>"Pix,Itaú,Nubank,Dinheiro,Boleto"</formula1>
    </dataValidation>
    <dataValidation type="list" allowBlank="1" showErrorMessage="1" sqref="C9:C19">
      <formula1>"Asmel,Aval,Salubritá,Reembolsos,Outros,Rendimentos"</formula1>
    </dataValidation>
    <dataValidation type="list" allowBlank="1" showErrorMessage="1" sqref="I9:I19 O9:O97 O103:O121">
      <formula1>"Alimentação,Beleza,Bem-estar/Saúde,Celular/tecnologia,Contabilidade/impostos,Educação médica,Eventos,Futilidades,Lazer,Presentes,Roupas/acessórios,Transporte,Viagens,Reembolsos"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7.88"/>
    <col customWidth="1" min="3" max="3" width="23.25"/>
    <col customWidth="1" min="4" max="4" width="12.13"/>
    <col customWidth="1" min="5" max="5" width="11.13"/>
    <col customWidth="1" min="7" max="7" width="8.0"/>
    <col customWidth="1" min="8" max="8" width="21.0"/>
    <col customWidth="1" min="9" max="9" width="14.13"/>
    <col customWidth="1" min="10" max="11" width="9.75"/>
    <col customWidth="1" min="13" max="13" width="10.75"/>
    <col customWidth="1" min="14" max="14" width="20.25"/>
    <col customWidth="1" min="15" max="15" width="13.63"/>
    <col customWidth="1" min="16" max="16" width="7.75"/>
    <col customWidth="1" min="17" max="17" width="11.13"/>
    <col customWidth="1" min="18" max="18" width="10.88"/>
  </cols>
  <sheetData>
    <row r="1">
      <c r="A1" s="2"/>
      <c r="B1" s="2"/>
      <c r="C1" s="2"/>
      <c r="D1" s="2"/>
      <c r="E1" s="2"/>
      <c r="F1" s="2"/>
      <c r="G1" s="3"/>
      <c r="H1" s="3"/>
      <c r="I1" s="3"/>
      <c r="J1" s="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05"/>
      <c r="AB1" s="105"/>
      <c r="AC1" s="105"/>
      <c r="AD1" s="105"/>
    </row>
    <row r="2">
      <c r="A2" s="2"/>
      <c r="B2" s="2"/>
      <c r="C2" s="2"/>
      <c r="D2" s="2"/>
      <c r="E2" s="2"/>
      <c r="F2" s="4"/>
      <c r="G2" s="5" t="s">
        <v>151</v>
      </c>
      <c r="H2" s="6"/>
      <c r="I2" s="7"/>
      <c r="J2" s="8"/>
      <c r="K2" s="9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105"/>
      <c r="AB2" s="105"/>
      <c r="AC2" s="105"/>
      <c r="AD2" s="105"/>
    </row>
    <row r="3">
      <c r="A3" s="2"/>
      <c r="B3" s="2"/>
      <c r="C3" s="2"/>
      <c r="D3" s="2"/>
      <c r="E3" s="2"/>
      <c r="F3" s="4"/>
      <c r="G3" s="10"/>
      <c r="I3" s="11"/>
      <c r="J3" s="8"/>
      <c r="K3" s="9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105"/>
      <c r="AB3" s="105"/>
      <c r="AC3" s="105"/>
      <c r="AD3" s="105"/>
    </row>
    <row r="4">
      <c r="A4" s="2"/>
      <c r="B4" s="2"/>
      <c r="C4" s="2"/>
      <c r="D4" s="2"/>
      <c r="E4" s="2"/>
      <c r="F4" s="4"/>
      <c r="G4" s="12"/>
      <c r="H4" s="13"/>
      <c r="I4" s="14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105"/>
      <c r="AB4" s="105"/>
      <c r="AC4" s="105"/>
      <c r="AD4" s="105"/>
    </row>
    <row r="5">
      <c r="A5" s="2"/>
      <c r="B5" s="2"/>
      <c r="C5" s="2"/>
      <c r="D5" s="2"/>
      <c r="E5" s="2"/>
      <c r="F5" s="2"/>
      <c r="G5" s="15"/>
      <c r="H5" s="15"/>
      <c r="I5" s="15"/>
      <c r="J5" s="15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105"/>
      <c r="AB5" s="105"/>
      <c r="AC5" s="105"/>
      <c r="AD5" s="105"/>
    </row>
    <row r="6">
      <c r="A6" s="2"/>
      <c r="B6" s="3"/>
      <c r="C6" s="3"/>
      <c r="D6" s="3"/>
      <c r="E6" s="3"/>
      <c r="F6" s="2"/>
      <c r="G6" s="3"/>
      <c r="H6" s="3"/>
      <c r="I6" s="3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105"/>
      <c r="AB6" s="105"/>
      <c r="AC6" s="105"/>
      <c r="AD6" s="105"/>
    </row>
    <row r="7">
      <c r="A7" s="4"/>
      <c r="B7" s="16" t="s">
        <v>1</v>
      </c>
      <c r="C7" s="17"/>
      <c r="D7" s="17"/>
      <c r="E7" s="18"/>
      <c r="F7" s="9"/>
      <c r="G7" s="19" t="s">
        <v>2</v>
      </c>
      <c r="H7" s="17"/>
      <c r="I7" s="17"/>
      <c r="J7" s="17"/>
      <c r="K7" s="18"/>
      <c r="L7" s="2"/>
      <c r="M7" s="21" t="s">
        <v>3</v>
      </c>
      <c r="N7" s="17"/>
      <c r="O7" s="17"/>
      <c r="P7" s="17"/>
      <c r="Q7" s="17"/>
      <c r="R7" s="18"/>
      <c r="S7" s="2"/>
      <c r="T7" s="22" t="s">
        <v>4</v>
      </c>
      <c r="U7" s="17"/>
      <c r="V7" s="17"/>
      <c r="W7" s="17"/>
      <c r="X7" s="17"/>
      <c r="Y7" s="17"/>
      <c r="Z7" s="18"/>
      <c r="AA7" s="106"/>
      <c r="AB7" s="107"/>
      <c r="AC7" s="107"/>
      <c r="AD7" s="107"/>
    </row>
    <row r="8">
      <c r="A8" s="4"/>
      <c r="B8" s="25" t="s">
        <v>5</v>
      </c>
      <c r="C8" s="26" t="s">
        <v>6</v>
      </c>
      <c r="D8" s="27" t="s">
        <v>7</v>
      </c>
      <c r="E8" s="26" t="s">
        <v>8</v>
      </c>
      <c r="F8" s="9"/>
      <c r="G8" s="28" t="s">
        <v>5</v>
      </c>
      <c r="H8" s="28" t="s">
        <v>6</v>
      </c>
      <c r="I8" s="28" t="s">
        <v>9</v>
      </c>
      <c r="J8" s="29" t="s">
        <v>7</v>
      </c>
      <c r="K8" s="28" t="s">
        <v>8</v>
      </c>
      <c r="L8" s="2"/>
      <c r="M8" s="108" t="s">
        <v>5</v>
      </c>
      <c r="N8" s="108" t="s">
        <v>6</v>
      </c>
      <c r="O8" s="108" t="s">
        <v>9</v>
      </c>
      <c r="P8" s="109" t="s">
        <v>10</v>
      </c>
      <c r="Q8" s="109" t="s">
        <v>7</v>
      </c>
      <c r="R8" s="108" t="s">
        <v>8</v>
      </c>
      <c r="S8" s="2"/>
      <c r="T8" s="32" t="s">
        <v>5</v>
      </c>
      <c r="U8" s="32" t="s">
        <v>9</v>
      </c>
      <c r="V8" s="33" t="s">
        <v>7</v>
      </c>
      <c r="W8" s="32" t="s">
        <v>11</v>
      </c>
      <c r="X8" s="32" t="s">
        <v>12</v>
      </c>
      <c r="Y8" s="32" t="s">
        <v>13</v>
      </c>
      <c r="Z8" s="32" t="s">
        <v>14</v>
      </c>
      <c r="AA8" s="110"/>
      <c r="AB8" s="111"/>
      <c r="AC8" s="111"/>
      <c r="AD8" s="111"/>
    </row>
    <row r="9">
      <c r="A9" s="4"/>
      <c r="B9" s="36" t="s">
        <v>152</v>
      </c>
      <c r="C9" s="37" t="s">
        <v>41</v>
      </c>
      <c r="D9" s="38">
        <v>3527.91</v>
      </c>
      <c r="E9" s="37" t="s">
        <v>17</v>
      </c>
      <c r="F9" s="9"/>
      <c r="G9" s="39">
        <v>45949.0</v>
      </c>
      <c r="H9" s="37" t="s">
        <v>18</v>
      </c>
      <c r="I9" s="37" t="s">
        <v>19</v>
      </c>
      <c r="J9" s="38">
        <v>34.99</v>
      </c>
      <c r="K9" s="37" t="s">
        <v>17</v>
      </c>
      <c r="L9" s="2"/>
      <c r="M9" s="40">
        <v>45751.0</v>
      </c>
      <c r="N9" s="37" t="s">
        <v>20</v>
      </c>
      <c r="O9" s="37" t="s">
        <v>16</v>
      </c>
      <c r="P9" s="36" t="s">
        <v>153</v>
      </c>
      <c r="Q9" s="38">
        <v>99.99</v>
      </c>
      <c r="R9" s="37" t="s">
        <v>21</v>
      </c>
      <c r="S9" s="2"/>
      <c r="T9" s="41">
        <v>45984.0</v>
      </c>
      <c r="U9" s="37" t="s">
        <v>22</v>
      </c>
      <c r="V9" s="38">
        <v>400.0</v>
      </c>
      <c r="W9" s="42"/>
      <c r="X9" s="38" t="s">
        <v>23</v>
      </c>
      <c r="Y9" s="43">
        <f>(V9:V98/Z9:Z98)</f>
        <v>0.016</v>
      </c>
      <c r="Z9" s="38">
        <v>25000.0</v>
      </c>
      <c r="AA9" s="112"/>
      <c r="AB9" s="113"/>
      <c r="AC9" s="113"/>
      <c r="AD9" s="113"/>
    </row>
    <row r="10">
      <c r="A10" s="4"/>
      <c r="B10" s="36" t="s">
        <v>154</v>
      </c>
      <c r="C10" s="37" t="s">
        <v>35</v>
      </c>
      <c r="D10" s="38">
        <v>2184.0</v>
      </c>
      <c r="E10" s="37" t="s">
        <v>17</v>
      </c>
      <c r="F10" s="9"/>
      <c r="G10" s="39">
        <v>45955.0</v>
      </c>
      <c r="H10" s="37" t="s">
        <v>25</v>
      </c>
      <c r="I10" s="37" t="s">
        <v>19</v>
      </c>
      <c r="J10" s="38">
        <v>44.9</v>
      </c>
      <c r="K10" s="37" t="s">
        <v>17</v>
      </c>
      <c r="L10" s="2"/>
      <c r="M10" s="40">
        <v>45891.0</v>
      </c>
      <c r="N10" s="37" t="s">
        <v>39</v>
      </c>
      <c r="O10" s="37" t="s">
        <v>19</v>
      </c>
      <c r="P10" s="36" t="s">
        <v>155</v>
      </c>
      <c r="Q10" s="38">
        <v>390.22</v>
      </c>
      <c r="R10" s="37" t="s">
        <v>17</v>
      </c>
      <c r="S10" s="2"/>
      <c r="T10" s="41">
        <v>45984.0</v>
      </c>
      <c r="U10" s="37" t="s">
        <v>33</v>
      </c>
      <c r="V10" s="38">
        <v>500.0</v>
      </c>
      <c r="W10" s="42"/>
      <c r="X10" s="46">
        <v>46447.0</v>
      </c>
      <c r="Y10" s="43">
        <f>(V9:V98/Z9:Z98)</f>
        <v>0.01</v>
      </c>
      <c r="Z10" s="38">
        <v>50000.0</v>
      </c>
      <c r="AA10" s="112"/>
      <c r="AB10" s="113"/>
      <c r="AC10" s="113"/>
      <c r="AD10" s="113"/>
    </row>
    <row r="11">
      <c r="A11" s="4"/>
      <c r="B11" s="36" t="s">
        <v>152</v>
      </c>
      <c r="C11" s="37" t="s">
        <v>29</v>
      </c>
      <c r="D11" s="38">
        <v>1500.0</v>
      </c>
      <c r="E11" s="37" t="s">
        <v>17</v>
      </c>
      <c r="F11" s="9"/>
      <c r="G11" s="39">
        <v>45956.0</v>
      </c>
      <c r="H11" s="37" t="s">
        <v>30</v>
      </c>
      <c r="I11" s="37" t="s">
        <v>31</v>
      </c>
      <c r="J11" s="38">
        <v>85.0</v>
      </c>
      <c r="K11" s="37" t="s">
        <v>17</v>
      </c>
      <c r="L11" s="2"/>
      <c r="M11" s="40">
        <v>45905.0</v>
      </c>
      <c r="N11" s="37" t="s">
        <v>51</v>
      </c>
      <c r="O11" s="37" t="s">
        <v>16</v>
      </c>
      <c r="P11" s="36" t="s">
        <v>156</v>
      </c>
      <c r="Q11" s="38">
        <v>100.07</v>
      </c>
      <c r="R11" s="37" t="s">
        <v>17</v>
      </c>
      <c r="S11" s="2"/>
      <c r="T11" s="41">
        <v>45984.0</v>
      </c>
      <c r="U11" s="37" t="s">
        <v>28</v>
      </c>
      <c r="V11" s="38">
        <v>2800.0</v>
      </c>
      <c r="W11" s="42"/>
      <c r="X11" s="46">
        <v>46023.0</v>
      </c>
      <c r="Y11" s="43">
        <f>(V9:V98/Z9:Z98)</f>
        <v>0.4307692308</v>
      </c>
      <c r="Z11" s="38">
        <v>6500.0</v>
      </c>
      <c r="AA11" s="112"/>
      <c r="AB11" s="113"/>
      <c r="AC11" s="113"/>
      <c r="AD11" s="113"/>
    </row>
    <row r="12">
      <c r="A12" s="4"/>
      <c r="B12" s="36" t="s">
        <v>157</v>
      </c>
      <c r="C12" s="37" t="s">
        <v>29</v>
      </c>
      <c r="D12" s="38">
        <v>1766.66</v>
      </c>
      <c r="E12" s="37" t="s">
        <v>17</v>
      </c>
      <c r="F12" s="9"/>
      <c r="G12" s="39">
        <v>45964.0</v>
      </c>
      <c r="H12" s="37" t="s">
        <v>42</v>
      </c>
      <c r="I12" s="37" t="s">
        <v>43</v>
      </c>
      <c r="J12" s="38">
        <v>282.4</v>
      </c>
      <c r="K12" s="37" t="s">
        <v>44</v>
      </c>
      <c r="L12" s="2"/>
      <c r="M12" s="40">
        <v>45905.0</v>
      </c>
      <c r="N12" s="37" t="s">
        <v>54</v>
      </c>
      <c r="O12" s="37" t="s">
        <v>55</v>
      </c>
      <c r="P12" s="36" t="s">
        <v>155</v>
      </c>
      <c r="Q12" s="38">
        <v>113.32</v>
      </c>
      <c r="R12" s="37" t="s">
        <v>17</v>
      </c>
      <c r="S12" s="2"/>
      <c r="T12" s="41">
        <v>45984.0</v>
      </c>
      <c r="U12" s="37" t="s">
        <v>40</v>
      </c>
      <c r="V12" s="38">
        <v>550.0</v>
      </c>
      <c r="W12" s="42"/>
      <c r="X12" s="47">
        <v>45992.0</v>
      </c>
      <c r="Y12" s="48">
        <f>(V9:V98/Z9:Z98)</f>
        <v>0.11</v>
      </c>
      <c r="Z12" s="38">
        <v>5000.0</v>
      </c>
      <c r="AA12" s="112"/>
      <c r="AB12" s="113"/>
      <c r="AC12" s="113"/>
      <c r="AD12" s="113"/>
    </row>
    <row r="13">
      <c r="A13" s="4"/>
      <c r="B13" s="36" t="s">
        <v>158</v>
      </c>
      <c r="C13" s="37" t="s">
        <v>16</v>
      </c>
      <c r="D13" s="38">
        <v>300.0</v>
      </c>
      <c r="E13" s="37" t="s">
        <v>21</v>
      </c>
      <c r="F13" s="9"/>
      <c r="G13" s="39">
        <v>45965.0</v>
      </c>
      <c r="H13" s="37" t="s">
        <v>36</v>
      </c>
      <c r="I13" s="37" t="s">
        <v>37</v>
      </c>
      <c r="J13" s="38">
        <v>15.95</v>
      </c>
      <c r="K13" s="37" t="s">
        <v>38</v>
      </c>
      <c r="L13" s="2"/>
      <c r="M13" s="96">
        <v>45921.0</v>
      </c>
      <c r="N13" s="97" t="s">
        <v>75</v>
      </c>
      <c r="O13" s="97" t="s">
        <v>27</v>
      </c>
      <c r="P13" s="114" t="s">
        <v>159</v>
      </c>
      <c r="Q13" s="99">
        <v>56.5</v>
      </c>
      <c r="R13" s="97" t="s">
        <v>17</v>
      </c>
      <c r="S13" s="4"/>
      <c r="T13" s="49"/>
      <c r="U13" s="115" t="s">
        <v>47</v>
      </c>
      <c r="V13" s="116">
        <f>SUM(V9:V12)</f>
        <v>4250</v>
      </c>
      <c r="W13" s="117"/>
      <c r="X13" s="117"/>
      <c r="Y13" s="118">
        <f>(V9:V98/Z9:Z98)</f>
        <v>0.04913294798</v>
      </c>
      <c r="Z13" s="117">
        <f>SUM(Z9:Z12)</f>
        <v>86500</v>
      </c>
      <c r="AA13" s="119"/>
      <c r="AB13" s="120"/>
      <c r="AC13" s="120"/>
      <c r="AD13" s="120"/>
    </row>
    <row r="14">
      <c r="A14" s="4"/>
      <c r="B14" s="36" t="s">
        <v>160</v>
      </c>
      <c r="C14" s="37" t="s">
        <v>11</v>
      </c>
      <c r="D14" s="38">
        <v>2.69</v>
      </c>
      <c r="E14" s="37" t="s">
        <v>17</v>
      </c>
      <c r="F14" s="9"/>
      <c r="G14" s="39">
        <v>45966.0</v>
      </c>
      <c r="H14" s="37" t="s">
        <v>161</v>
      </c>
      <c r="I14" s="37" t="s">
        <v>43</v>
      </c>
      <c r="J14" s="38">
        <v>98.53</v>
      </c>
      <c r="K14" s="37" t="s">
        <v>44</v>
      </c>
      <c r="L14" s="2"/>
      <c r="M14" s="96">
        <v>45926.0</v>
      </c>
      <c r="N14" s="97" t="s">
        <v>88</v>
      </c>
      <c r="O14" s="97" t="s">
        <v>55</v>
      </c>
      <c r="P14" s="114" t="s">
        <v>162</v>
      </c>
      <c r="Q14" s="99">
        <v>106.66</v>
      </c>
      <c r="R14" s="97" t="s">
        <v>17</v>
      </c>
      <c r="S14" s="2"/>
      <c r="T14" s="121"/>
      <c r="U14" s="121"/>
      <c r="V14" s="122"/>
      <c r="W14" s="122"/>
      <c r="X14" s="122"/>
      <c r="Y14" s="123"/>
      <c r="Z14" s="122"/>
      <c r="AA14" s="119"/>
      <c r="AB14" s="120"/>
      <c r="AC14" s="120"/>
      <c r="AD14" s="120"/>
    </row>
    <row r="15">
      <c r="A15" s="4"/>
      <c r="B15" s="36" t="s">
        <v>160</v>
      </c>
      <c r="C15" s="37" t="s">
        <v>16</v>
      </c>
      <c r="D15" s="38">
        <v>23.78</v>
      </c>
      <c r="E15" s="37" t="s">
        <v>17</v>
      </c>
      <c r="F15" s="9"/>
      <c r="G15" s="41">
        <v>45972.0</v>
      </c>
      <c r="H15" s="37" t="s">
        <v>57</v>
      </c>
      <c r="I15" s="37" t="s">
        <v>16</v>
      </c>
      <c r="J15" s="38">
        <v>34.9</v>
      </c>
      <c r="K15" s="37" t="s">
        <v>21</v>
      </c>
      <c r="L15" s="2"/>
      <c r="M15" s="96">
        <v>45926.0</v>
      </c>
      <c r="N15" s="97" t="s">
        <v>90</v>
      </c>
      <c r="O15" s="97" t="s">
        <v>46</v>
      </c>
      <c r="P15" s="114" t="s">
        <v>159</v>
      </c>
      <c r="Q15" s="99">
        <v>51.75</v>
      </c>
      <c r="R15" s="97" t="s">
        <v>17</v>
      </c>
      <c r="S15" s="2"/>
      <c r="T15" s="2"/>
      <c r="U15" s="2"/>
      <c r="V15" s="55"/>
      <c r="W15" s="55"/>
      <c r="X15" s="55"/>
      <c r="Y15" s="58"/>
      <c r="Z15" s="55"/>
      <c r="AA15" s="119"/>
      <c r="AB15" s="120"/>
      <c r="AC15" s="120"/>
      <c r="AD15" s="120"/>
    </row>
    <row r="16">
      <c r="A16" s="4"/>
      <c r="B16" s="36"/>
      <c r="C16" s="37"/>
      <c r="D16" s="38"/>
      <c r="E16" s="37"/>
      <c r="F16" s="9"/>
      <c r="G16" s="39">
        <v>45973.0</v>
      </c>
      <c r="H16" s="37" t="s">
        <v>49</v>
      </c>
      <c r="I16" s="37" t="s">
        <v>50</v>
      </c>
      <c r="J16" s="38">
        <v>144.44</v>
      </c>
      <c r="K16" s="37" t="s">
        <v>17</v>
      </c>
      <c r="L16" s="2"/>
      <c r="M16" s="96">
        <v>45933.0</v>
      </c>
      <c r="N16" s="97" t="s">
        <v>106</v>
      </c>
      <c r="O16" s="97" t="s">
        <v>55</v>
      </c>
      <c r="P16" s="114" t="s">
        <v>159</v>
      </c>
      <c r="Q16" s="99">
        <v>100.0</v>
      </c>
      <c r="R16" s="97" t="s">
        <v>17</v>
      </c>
      <c r="S16" s="2"/>
      <c r="T16" s="2"/>
      <c r="U16" s="2"/>
      <c r="V16" s="55"/>
      <c r="W16" s="55"/>
      <c r="X16" s="55"/>
      <c r="Y16" s="58"/>
      <c r="Z16" s="55"/>
      <c r="AA16" s="119"/>
      <c r="AB16" s="120"/>
      <c r="AC16" s="120"/>
      <c r="AD16" s="120"/>
    </row>
    <row r="17">
      <c r="A17" s="4"/>
      <c r="B17" s="36"/>
      <c r="C17" s="37"/>
      <c r="D17" s="38"/>
      <c r="E17" s="37"/>
      <c r="F17" s="9"/>
      <c r="G17" s="41">
        <v>45973.0</v>
      </c>
      <c r="H17" s="37" t="s">
        <v>53</v>
      </c>
      <c r="I17" s="37" t="s">
        <v>19</v>
      </c>
      <c r="J17" s="38">
        <v>69.9</v>
      </c>
      <c r="K17" s="37" t="s">
        <v>17</v>
      </c>
      <c r="L17" s="2"/>
      <c r="M17" s="96">
        <v>45937.0</v>
      </c>
      <c r="N17" s="97" t="s">
        <v>118</v>
      </c>
      <c r="O17" s="97" t="s">
        <v>55</v>
      </c>
      <c r="P17" s="114" t="s">
        <v>159</v>
      </c>
      <c r="Q17" s="99">
        <v>40.5</v>
      </c>
      <c r="R17" s="97" t="s">
        <v>17</v>
      </c>
      <c r="S17" s="2"/>
      <c r="T17" s="2"/>
      <c r="U17" s="2"/>
      <c r="V17" s="55"/>
      <c r="W17" s="55"/>
      <c r="X17" s="55"/>
      <c r="Y17" s="58"/>
      <c r="Z17" s="55"/>
      <c r="AA17" s="119"/>
      <c r="AB17" s="120"/>
      <c r="AC17" s="120"/>
      <c r="AD17" s="120"/>
    </row>
    <row r="18">
      <c r="A18" s="4"/>
      <c r="B18" s="36"/>
      <c r="C18" s="37"/>
      <c r="D18" s="38"/>
      <c r="E18" s="37"/>
      <c r="F18" s="9"/>
      <c r="G18" s="41">
        <v>45975.0</v>
      </c>
      <c r="H18" s="37" t="s">
        <v>61</v>
      </c>
      <c r="I18" s="37" t="s">
        <v>27</v>
      </c>
      <c r="J18" s="38">
        <v>139.9</v>
      </c>
      <c r="K18" s="37" t="s">
        <v>17</v>
      </c>
      <c r="L18" s="2"/>
      <c r="M18" s="96">
        <v>45937.0</v>
      </c>
      <c r="N18" s="97" t="s">
        <v>121</v>
      </c>
      <c r="O18" s="97" t="s">
        <v>55</v>
      </c>
      <c r="P18" s="114" t="s">
        <v>159</v>
      </c>
      <c r="Q18" s="99">
        <v>66.0</v>
      </c>
      <c r="R18" s="97" t="s">
        <v>17</v>
      </c>
      <c r="S18" s="2"/>
      <c r="T18" s="2"/>
      <c r="U18" s="2"/>
      <c r="V18" s="55"/>
      <c r="W18" s="55"/>
      <c r="X18" s="55"/>
      <c r="Y18" s="58"/>
      <c r="Z18" s="55"/>
      <c r="AA18" s="119"/>
      <c r="AB18" s="120"/>
      <c r="AC18" s="120"/>
      <c r="AD18" s="120"/>
    </row>
    <row r="19">
      <c r="A19" s="4"/>
      <c r="B19" s="63"/>
      <c r="C19" s="37"/>
      <c r="D19" s="38"/>
      <c r="E19" s="64"/>
      <c r="F19" s="9"/>
      <c r="G19" s="124">
        <v>45979.0</v>
      </c>
      <c r="H19" s="37" t="s">
        <v>68</v>
      </c>
      <c r="I19" s="37" t="s">
        <v>31</v>
      </c>
      <c r="J19" s="38">
        <v>14.99</v>
      </c>
      <c r="K19" s="37" t="s">
        <v>17</v>
      </c>
      <c r="L19" s="2"/>
      <c r="M19" s="96">
        <v>45938.0</v>
      </c>
      <c r="N19" s="97" t="s">
        <v>125</v>
      </c>
      <c r="O19" s="97" t="s">
        <v>50</v>
      </c>
      <c r="P19" s="114" t="s">
        <v>159</v>
      </c>
      <c r="Q19" s="99">
        <v>62.4</v>
      </c>
      <c r="R19" s="97" t="s">
        <v>17</v>
      </c>
      <c r="S19" s="2"/>
      <c r="T19" s="2"/>
      <c r="U19" s="2"/>
      <c r="V19" s="55"/>
      <c r="W19" s="55"/>
      <c r="X19" s="55"/>
      <c r="Y19" s="58"/>
      <c r="Z19" s="55"/>
      <c r="AA19" s="119"/>
      <c r="AB19" s="120"/>
      <c r="AC19" s="120"/>
      <c r="AD19" s="120"/>
    </row>
    <row r="20">
      <c r="A20" s="66"/>
      <c r="B20" s="25"/>
      <c r="C20" s="25" t="s">
        <v>47</v>
      </c>
      <c r="D20" s="67">
        <f>SUM(D9:D19)</f>
        <v>9305.04</v>
      </c>
      <c r="E20" s="25"/>
      <c r="F20" s="9"/>
      <c r="G20" s="124">
        <v>45975.0</v>
      </c>
      <c r="H20" s="37" t="s">
        <v>163</v>
      </c>
      <c r="I20" s="37" t="s">
        <v>43</v>
      </c>
      <c r="J20" s="38">
        <v>191.95</v>
      </c>
      <c r="K20" s="37" t="s">
        <v>44</v>
      </c>
      <c r="L20" s="2"/>
      <c r="M20" s="96">
        <v>45940.0</v>
      </c>
      <c r="N20" s="97" t="s">
        <v>127</v>
      </c>
      <c r="O20" s="97" t="s">
        <v>37</v>
      </c>
      <c r="P20" s="114" t="s">
        <v>159</v>
      </c>
      <c r="Q20" s="99">
        <v>75.0</v>
      </c>
      <c r="R20" s="97" t="s">
        <v>17</v>
      </c>
      <c r="S20" s="3"/>
      <c r="T20" s="2"/>
      <c r="U20" s="2"/>
      <c r="V20" s="55"/>
      <c r="W20" s="55"/>
      <c r="X20" s="55"/>
      <c r="Y20" s="58"/>
      <c r="Z20" s="55"/>
      <c r="AA20" s="119"/>
      <c r="AB20" s="120"/>
      <c r="AC20" s="120"/>
      <c r="AD20" s="120"/>
    </row>
    <row r="21">
      <c r="A21" s="66"/>
      <c r="B21" s="71"/>
      <c r="C21" s="71" t="s">
        <v>72</v>
      </c>
      <c r="D21" s="72">
        <v>8978.57</v>
      </c>
      <c r="E21" s="73">
        <f>D21/D20</f>
        <v>0.9649147129</v>
      </c>
      <c r="F21" s="9"/>
      <c r="G21" s="125"/>
      <c r="H21" s="126" t="s">
        <v>47</v>
      </c>
      <c r="I21" s="125"/>
      <c r="J21" s="127">
        <f>SUM(J9:J20)</f>
        <v>1157.85</v>
      </c>
      <c r="K21" s="125"/>
      <c r="L21" s="2"/>
      <c r="M21" s="96">
        <v>45946.0</v>
      </c>
      <c r="N21" s="97" t="s">
        <v>139</v>
      </c>
      <c r="O21" s="97" t="s">
        <v>133</v>
      </c>
      <c r="P21" s="128" t="s">
        <v>164</v>
      </c>
      <c r="Q21" s="99">
        <v>99.82</v>
      </c>
      <c r="R21" s="97" t="s">
        <v>17</v>
      </c>
      <c r="S21" s="3"/>
      <c r="T21" s="2"/>
      <c r="U21" s="2"/>
      <c r="V21" s="55"/>
      <c r="W21" s="55"/>
      <c r="X21" s="55"/>
      <c r="Y21" s="58"/>
      <c r="Z21" s="55"/>
      <c r="AA21" s="119"/>
      <c r="AB21" s="120"/>
      <c r="AC21" s="120"/>
      <c r="AD21" s="120"/>
    </row>
    <row r="22">
      <c r="A22" s="66"/>
      <c r="B22" s="74"/>
      <c r="C22" s="75"/>
      <c r="D22" s="76"/>
      <c r="E22" s="15"/>
      <c r="F22" s="20"/>
      <c r="G22" s="121"/>
      <c r="H22" s="121"/>
      <c r="I22" s="121"/>
      <c r="J22" s="122"/>
      <c r="K22" s="121"/>
      <c r="L22" s="9"/>
      <c r="M22" s="59">
        <v>45948.0</v>
      </c>
      <c r="N22" s="60" t="s">
        <v>165</v>
      </c>
      <c r="O22" s="60" t="s">
        <v>66</v>
      </c>
      <c r="P22" s="60" t="s">
        <v>23</v>
      </c>
      <c r="Q22" s="62">
        <v>20.0</v>
      </c>
      <c r="R22" s="60" t="s">
        <v>17</v>
      </c>
      <c r="S22" s="3"/>
      <c r="T22" s="2"/>
      <c r="U22" s="2"/>
      <c r="V22" s="55"/>
      <c r="W22" s="55"/>
      <c r="X22" s="55"/>
      <c r="Y22" s="58"/>
      <c r="Z22" s="55"/>
      <c r="AA22" s="119"/>
      <c r="AB22" s="120"/>
      <c r="AC22" s="120"/>
      <c r="AD22" s="120"/>
    </row>
    <row r="23">
      <c r="A23" s="66"/>
      <c r="B23" s="24"/>
      <c r="C23" s="35"/>
      <c r="D23" s="77"/>
      <c r="E23" s="2"/>
      <c r="F23" s="20"/>
      <c r="G23" s="2"/>
      <c r="H23" s="2"/>
      <c r="I23" s="2"/>
      <c r="J23" s="55"/>
      <c r="K23" s="2"/>
      <c r="L23" s="9"/>
      <c r="M23" s="59">
        <v>45949.0</v>
      </c>
      <c r="N23" s="60" t="s">
        <v>166</v>
      </c>
      <c r="O23" s="60" t="s">
        <v>66</v>
      </c>
      <c r="P23" s="60" t="s">
        <v>23</v>
      </c>
      <c r="Q23" s="62">
        <v>56.1</v>
      </c>
      <c r="R23" s="60" t="s">
        <v>17</v>
      </c>
      <c r="S23" s="3"/>
      <c r="T23" s="2"/>
      <c r="U23" s="2"/>
      <c r="V23" s="55"/>
      <c r="W23" s="55"/>
      <c r="X23" s="55"/>
      <c r="Y23" s="58"/>
      <c r="Z23" s="55"/>
      <c r="AA23" s="119"/>
      <c r="AB23" s="120"/>
      <c r="AC23" s="120"/>
      <c r="AD23" s="120"/>
    </row>
    <row r="24">
      <c r="A24" s="66"/>
      <c r="B24" s="24"/>
      <c r="C24" s="35"/>
      <c r="D24" s="77"/>
      <c r="E24" s="2"/>
      <c r="F24" s="20"/>
      <c r="G24" s="2"/>
      <c r="H24" s="2"/>
      <c r="I24" s="2"/>
      <c r="J24" s="55"/>
      <c r="K24" s="2"/>
      <c r="L24" s="9"/>
      <c r="M24" s="59">
        <v>45949.0</v>
      </c>
      <c r="N24" s="60" t="s">
        <v>167</v>
      </c>
      <c r="O24" s="60" t="s">
        <v>81</v>
      </c>
      <c r="P24" s="60" t="s">
        <v>23</v>
      </c>
      <c r="Q24" s="62">
        <v>25.65</v>
      </c>
      <c r="R24" s="60" t="s">
        <v>17</v>
      </c>
      <c r="S24" s="3"/>
      <c r="T24" s="2"/>
      <c r="U24" s="2"/>
      <c r="V24" s="55"/>
      <c r="W24" s="55"/>
      <c r="X24" s="55"/>
      <c r="Y24" s="58"/>
      <c r="Z24" s="55"/>
      <c r="AA24" s="119"/>
      <c r="AB24" s="120"/>
      <c r="AC24" s="120"/>
      <c r="AD24" s="120"/>
    </row>
    <row r="25">
      <c r="A25" s="66"/>
      <c r="B25" s="24"/>
      <c r="C25" s="35"/>
      <c r="D25" s="77"/>
      <c r="E25" s="2"/>
      <c r="F25" s="20"/>
      <c r="G25" s="2"/>
      <c r="H25" s="2"/>
      <c r="I25" s="2"/>
      <c r="J25" s="55"/>
      <c r="K25" s="2"/>
      <c r="L25" s="9"/>
      <c r="M25" s="59">
        <v>45949.0</v>
      </c>
      <c r="N25" s="60" t="s">
        <v>168</v>
      </c>
      <c r="O25" s="60" t="s">
        <v>70</v>
      </c>
      <c r="P25" s="60" t="s">
        <v>23</v>
      </c>
      <c r="Q25" s="62">
        <v>26.95</v>
      </c>
      <c r="R25" s="60" t="s">
        <v>17</v>
      </c>
      <c r="S25" s="3"/>
      <c r="T25" s="2"/>
      <c r="U25" s="2"/>
      <c r="V25" s="55"/>
      <c r="W25" s="55"/>
      <c r="X25" s="55"/>
      <c r="Y25" s="58"/>
      <c r="Z25" s="55"/>
      <c r="AA25" s="119"/>
      <c r="AB25" s="120"/>
      <c r="AC25" s="120"/>
      <c r="AD25" s="120"/>
    </row>
    <row r="26">
      <c r="A26" s="66"/>
      <c r="B26" s="24"/>
      <c r="C26" s="35"/>
      <c r="D26" s="77"/>
      <c r="E26" s="2"/>
      <c r="F26" s="20"/>
      <c r="G26" s="2"/>
      <c r="H26" s="2"/>
      <c r="I26" s="2"/>
      <c r="J26" s="55"/>
      <c r="K26" s="2"/>
      <c r="L26" s="9"/>
      <c r="M26" s="59">
        <v>45949.0</v>
      </c>
      <c r="N26" s="60" t="s">
        <v>169</v>
      </c>
      <c r="O26" s="60" t="s">
        <v>70</v>
      </c>
      <c r="P26" s="60" t="s">
        <v>23</v>
      </c>
      <c r="Q26" s="62">
        <v>22.05</v>
      </c>
      <c r="R26" s="60" t="s">
        <v>17</v>
      </c>
      <c r="S26" s="3"/>
      <c r="T26" s="2"/>
      <c r="U26" s="2"/>
      <c r="V26" s="55"/>
      <c r="W26" s="55"/>
      <c r="X26" s="55"/>
      <c r="Y26" s="58"/>
      <c r="Z26" s="55"/>
      <c r="AA26" s="119"/>
      <c r="AB26" s="120"/>
      <c r="AC26" s="120"/>
      <c r="AD26" s="120"/>
    </row>
    <row r="27">
      <c r="A27" s="66"/>
      <c r="B27" s="24"/>
      <c r="C27" s="35"/>
      <c r="D27" s="77"/>
      <c r="E27" s="2"/>
      <c r="F27" s="20"/>
      <c r="G27" s="2"/>
      <c r="H27" s="79" t="s">
        <v>77</v>
      </c>
      <c r="I27" s="17"/>
      <c r="J27" s="18"/>
      <c r="K27" s="2"/>
      <c r="L27" s="9"/>
      <c r="M27" s="59">
        <v>45949.0</v>
      </c>
      <c r="N27" s="60" t="s">
        <v>170</v>
      </c>
      <c r="O27" s="60" t="s">
        <v>70</v>
      </c>
      <c r="P27" s="60" t="s">
        <v>23</v>
      </c>
      <c r="Q27" s="62">
        <v>15.9</v>
      </c>
      <c r="R27" s="60" t="s">
        <v>17</v>
      </c>
      <c r="S27" s="3"/>
      <c r="T27" s="2"/>
      <c r="U27" s="2"/>
      <c r="V27" s="55"/>
      <c r="W27" s="55"/>
      <c r="X27" s="55"/>
      <c r="Y27" s="58"/>
      <c r="Z27" s="55"/>
      <c r="AA27" s="119"/>
      <c r="AB27" s="120"/>
      <c r="AC27" s="120"/>
      <c r="AD27" s="120"/>
    </row>
    <row r="28">
      <c r="A28" s="66"/>
      <c r="B28" s="24"/>
      <c r="C28" s="35"/>
      <c r="D28" s="77"/>
      <c r="E28" s="2"/>
      <c r="F28" s="20"/>
      <c r="G28" s="2"/>
      <c r="H28" s="80"/>
      <c r="I28" s="81" t="s">
        <v>79</v>
      </c>
      <c r="J28" s="82" t="s">
        <v>14</v>
      </c>
      <c r="K28" s="2"/>
      <c r="L28" s="9"/>
      <c r="M28" s="59">
        <v>45949.0</v>
      </c>
      <c r="N28" s="60" t="s">
        <v>171</v>
      </c>
      <c r="O28" s="60" t="s">
        <v>66</v>
      </c>
      <c r="P28" s="60" t="s">
        <v>23</v>
      </c>
      <c r="Q28" s="62">
        <v>12.0</v>
      </c>
      <c r="R28" s="60" t="s">
        <v>17</v>
      </c>
      <c r="S28" s="3"/>
      <c r="T28" s="2"/>
      <c r="U28" s="2"/>
      <c r="V28" s="55"/>
      <c r="W28" s="55"/>
      <c r="X28" s="55"/>
      <c r="Y28" s="58"/>
      <c r="Z28" s="55"/>
      <c r="AA28" s="119"/>
      <c r="AB28" s="120"/>
      <c r="AC28" s="120"/>
      <c r="AD28" s="120"/>
    </row>
    <row r="29">
      <c r="A29" s="66"/>
      <c r="B29" s="24"/>
      <c r="C29" s="35"/>
      <c r="D29" s="77"/>
      <c r="E29" s="2"/>
      <c r="F29" s="20"/>
      <c r="G29" s="2"/>
      <c r="H29" s="82" t="s">
        <v>82</v>
      </c>
      <c r="I29" s="83">
        <v>3273.46</v>
      </c>
      <c r="J29" s="83"/>
      <c r="K29" s="2"/>
      <c r="L29" s="9"/>
      <c r="M29" s="59">
        <v>45950.0</v>
      </c>
      <c r="N29" s="60" t="s">
        <v>121</v>
      </c>
      <c r="O29" s="60" t="s">
        <v>55</v>
      </c>
      <c r="P29" s="60" t="s">
        <v>23</v>
      </c>
      <c r="Q29" s="62">
        <v>30.0</v>
      </c>
      <c r="R29" s="60" t="s">
        <v>17</v>
      </c>
      <c r="S29" s="3"/>
      <c r="T29" s="2"/>
      <c r="U29" s="2"/>
      <c r="V29" s="55"/>
      <c r="W29" s="55"/>
      <c r="X29" s="55"/>
      <c r="Y29" s="58"/>
      <c r="Z29" s="55"/>
      <c r="AA29" s="119"/>
      <c r="AB29" s="120"/>
      <c r="AC29" s="120"/>
      <c r="AD29" s="120"/>
    </row>
    <row r="30">
      <c r="A30" s="66"/>
      <c r="B30" s="24"/>
      <c r="C30" s="35"/>
      <c r="D30" s="77"/>
      <c r="E30" s="2"/>
      <c r="F30" s="20"/>
      <c r="G30" s="2"/>
      <c r="H30" s="82" t="s">
        <v>84</v>
      </c>
      <c r="I30" s="129">
        <f>D20</f>
        <v>9305.04</v>
      </c>
      <c r="J30" s="42"/>
      <c r="K30" s="2"/>
      <c r="L30" s="9"/>
      <c r="M30" s="59">
        <v>45951.0</v>
      </c>
      <c r="N30" s="60" t="s">
        <v>172</v>
      </c>
      <c r="O30" s="60" t="s">
        <v>27</v>
      </c>
      <c r="P30" s="61">
        <v>45689.0</v>
      </c>
      <c r="Q30" s="62">
        <v>58.52</v>
      </c>
      <c r="R30" s="60" t="s">
        <v>17</v>
      </c>
      <c r="S30" s="3"/>
      <c r="T30" s="2"/>
      <c r="U30" s="2"/>
      <c r="V30" s="55"/>
      <c r="W30" s="55"/>
      <c r="X30" s="55"/>
      <c r="Y30" s="58"/>
      <c r="Z30" s="55"/>
      <c r="AA30" s="119"/>
      <c r="AB30" s="120"/>
      <c r="AC30" s="120"/>
      <c r="AD30" s="120"/>
    </row>
    <row r="31">
      <c r="A31" s="66"/>
      <c r="B31" s="24"/>
      <c r="C31" s="35"/>
      <c r="D31" s="77"/>
      <c r="E31" s="2"/>
      <c r="F31" s="20"/>
      <c r="G31" s="2"/>
      <c r="H31" s="82" t="s">
        <v>85</v>
      </c>
      <c r="I31" s="38">
        <f>SUMIF(R9:R98,"Itaú",Q9:Q98) + SUMIF(K9:K98,"Itaú",J9:J98)</f>
        <v>4435.33</v>
      </c>
      <c r="J31" s="38"/>
      <c r="K31" s="2"/>
      <c r="L31" s="9"/>
      <c r="M31" s="59">
        <v>45951.0</v>
      </c>
      <c r="N31" s="60" t="s">
        <v>173</v>
      </c>
      <c r="O31" s="60" t="s">
        <v>66</v>
      </c>
      <c r="P31" s="60" t="s">
        <v>23</v>
      </c>
      <c r="Q31" s="62">
        <v>67.5</v>
      </c>
      <c r="R31" s="60" t="s">
        <v>17</v>
      </c>
      <c r="S31" s="3"/>
      <c r="T31" s="2"/>
      <c r="U31" s="2"/>
      <c r="V31" s="55"/>
      <c r="W31" s="55"/>
      <c r="X31" s="55"/>
      <c r="Y31" s="58"/>
      <c r="Z31" s="55"/>
      <c r="AA31" s="119"/>
      <c r="AB31" s="120"/>
      <c r="AC31" s="120"/>
      <c r="AD31" s="120"/>
    </row>
    <row r="32">
      <c r="A32" s="66"/>
      <c r="B32" s="24"/>
      <c r="C32" s="35"/>
      <c r="D32" s="77"/>
      <c r="E32" s="2"/>
      <c r="F32" s="20"/>
      <c r="G32" s="2"/>
      <c r="H32" s="82" t="s">
        <v>87</v>
      </c>
      <c r="I32" s="42"/>
      <c r="J32" s="42"/>
      <c r="K32" s="2"/>
      <c r="L32" s="9"/>
      <c r="M32" s="59">
        <v>45951.0</v>
      </c>
      <c r="N32" s="60" t="s">
        <v>174</v>
      </c>
      <c r="O32" s="60" t="s">
        <v>70</v>
      </c>
      <c r="P32" s="60" t="s">
        <v>23</v>
      </c>
      <c r="Q32" s="62">
        <v>50.0</v>
      </c>
      <c r="R32" s="60" t="s">
        <v>17</v>
      </c>
      <c r="S32" s="3"/>
      <c r="T32" s="2"/>
      <c r="U32" s="2"/>
      <c r="V32" s="55"/>
      <c r="W32" s="55"/>
      <c r="X32" s="55"/>
      <c r="Y32" s="58"/>
      <c r="Z32" s="55"/>
      <c r="AA32" s="119"/>
      <c r="AB32" s="120"/>
      <c r="AC32" s="120"/>
      <c r="AD32" s="120"/>
    </row>
    <row r="33">
      <c r="A33" s="66"/>
      <c r="B33" s="24"/>
      <c r="C33" s="35"/>
      <c r="D33" s="77"/>
      <c r="E33" s="2"/>
      <c r="F33" s="20"/>
      <c r="G33" s="2"/>
      <c r="H33" s="82" t="s">
        <v>89</v>
      </c>
      <c r="I33" s="130">
        <f>SUM(J21,Q95)</f>
        <v>6698.61</v>
      </c>
      <c r="J33" s="42"/>
      <c r="K33" s="2"/>
      <c r="L33" s="9"/>
      <c r="M33" s="59">
        <v>45952.0</v>
      </c>
      <c r="N33" s="60" t="s">
        <v>175</v>
      </c>
      <c r="O33" s="60" t="s">
        <v>59</v>
      </c>
      <c r="P33" s="61">
        <v>45992.0</v>
      </c>
      <c r="Q33" s="62">
        <v>133.22</v>
      </c>
      <c r="R33" s="60" t="s">
        <v>17</v>
      </c>
      <c r="S33" s="3"/>
      <c r="T33" s="2"/>
      <c r="U33" s="2"/>
      <c r="V33" s="55"/>
      <c r="W33" s="55"/>
      <c r="X33" s="55"/>
      <c r="Y33" s="58"/>
      <c r="Z33" s="55"/>
      <c r="AA33" s="119"/>
      <c r="AB33" s="120"/>
      <c r="AC33" s="120"/>
      <c r="AD33" s="120"/>
    </row>
    <row r="34">
      <c r="A34" s="66"/>
      <c r="B34" s="24"/>
      <c r="C34" s="35"/>
      <c r="D34" s="77"/>
      <c r="E34" s="2"/>
      <c r="F34" s="20"/>
      <c r="G34" s="2"/>
      <c r="H34" s="82" t="s">
        <v>91</v>
      </c>
      <c r="I34" s="42">
        <f>V13</f>
        <v>4250</v>
      </c>
      <c r="J34" s="42"/>
      <c r="K34" s="2"/>
      <c r="L34" s="9"/>
      <c r="M34" s="59">
        <v>45953.0</v>
      </c>
      <c r="N34" s="60" t="s">
        <v>102</v>
      </c>
      <c r="O34" s="60" t="s">
        <v>70</v>
      </c>
      <c r="P34" s="60" t="s">
        <v>23</v>
      </c>
      <c r="Q34" s="62">
        <v>32.67</v>
      </c>
      <c r="R34" s="60" t="s">
        <v>17</v>
      </c>
      <c r="S34" s="3"/>
      <c r="T34" s="2"/>
      <c r="U34" s="2"/>
      <c r="V34" s="55"/>
      <c r="W34" s="55"/>
      <c r="X34" s="55"/>
      <c r="Y34" s="58"/>
      <c r="Z34" s="55"/>
      <c r="AA34" s="119"/>
      <c r="AB34" s="120"/>
      <c r="AC34" s="120"/>
      <c r="AD34" s="120"/>
    </row>
    <row r="35">
      <c r="A35" s="66"/>
      <c r="B35" s="24"/>
      <c r="C35" s="35"/>
      <c r="D35" s="77"/>
      <c r="E35" s="2"/>
      <c r="F35" s="20"/>
      <c r="G35" s="2"/>
      <c r="H35" s="84" t="s">
        <v>93</v>
      </c>
      <c r="I35" s="85">
        <f>SUM(I29,I30)- SUM(I33,I34)</f>
        <v>1629.89</v>
      </c>
      <c r="J35" s="86"/>
      <c r="K35" s="2"/>
      <c r="L35" s="9"/>
      <c r="M35" s="59">
        <v>45953.0</v>
      </c>
      <c r="N35" s="60" t="s">
        <v>176</v>
      </c>
      <c r="O35" s="60" t="s">
        <v>81</v>
      </c>
      <c r="P35" s="60" t="s">
        <v>23</v>
      </c>
      <c r="Q35" s="62">
        <v>3.5</v>
      </c>
      <c r="R35" s="60" t="s">
        <v>17</v>
      </c>
      <c r="S35" s="3"/>
      <c r="T35" s="2"/>
      <c r="U35" s="2"/>
      <c r="V35" s="55"/>
      <c r="W35" s="55"/>
      <c r="X35" s="55"/>
      <c r="Y35" s="58"/>
      <c r="Z35" s="55"/>
      <c r="AA35" s="119"/>
      <c r="AB35" s="120"/>
      <c r="AC35" s="120"/>
      <c r="AD35" s="120"/>
    </row>
    <row r="36">
      <c r="A36" s="66"/>
      <c r="B36" s="24"/>
      <c r="C36" s="35"/>
      <c r="D36" s="77"/>
      <c r="E36" s="2"/>
      <c r="F36" s="20"/>
      <c r="G36" s="2"/>
      <c r="H36" s="2"/>
      <c r="I36" s="2"/>
      <c r="J36" s="55"/>
      <c r="K36" s="2"/>
      <c r="L36" s="9"/>
      <c r="M36" s="59">
        <v>45954.0</v>
      </c>
      <c r="N36" s="60" t="s">
        <v>92</v>
      </c>
      <c r="O36" s="60" t="s">
        <v>66</v>
      </c>
      <c r="P36" s="60" t="s">
        <v>23</v>
      </c>
      <c r="Q36" s="62">
        <v>60.0</v>
      </c>
      <c r="R36" s="60" t="s">
        <v>17</v>
      </c>
      <c r="S36" s="3"/>
      <c r="T36" s="2"/>
      <c r="U36" s="2"/>
      <c r="V36" s="55"/>
      <c r="W36" s="55"/>
      <c r="X36" s="55"/>
      <c r="Y36" s="58"/>
      <c r="Z36" s="55"/>
      <c r="AA36" s="119"/>
      <c r="AB36" s="120"/>
      <c r="AC36" s="120"/>
      <c r="AD36" s="120"/>
    </row>
    <row r="37">
      <c r="A37" s="66"/>
      <c r="B37" s="24"/>
      <c r="C37" s="35"/>
      <c r="D37" s="77"/>
      <c r="E37" s="2"/>
      <c r="F37" s="20"/>
      <c r="G37" s="2"/>
      <c r="H37" s="2"/>
      <c r="I37" s="2"/>
      <c r="J37" s="55"/>
      <c r="K37" s="2"/>
      <c r="L37" s="9"/>
      <c r="M37" s="59">
        <v>45954.0</v>
      </c>
      <c r="N37" s="60" t="s">
        <v>177</v>
      </c>
      <c r="O37" s="60" t="s">
        <v>70</v>
      </c>
      <c r="P37" s="60" t="s">
        <v>23</v>
      </c>
      <c r="Q37" s="62">
        <v>17.93</v>
      </c>
      <c r="R37" s="60" t="s">
        <v>17</v>
      </c>
      <c r="S37" s="3"/>
      <c r="T37" s="2"/>
      <c r="U37" s="2"/>
      <c r="V37" s="55"/>
      <c r="W37" s="55"/>
      <c r="X37" s="55"/>
      <c r="Y37" s="58"/>
      <c r="Z37" s="55"/>
      <c r="AA37" s="119"/>
      <c r="AB37" s="120"/>
      <c r="AC37" s="120"/>
      <c r="AD37" s="120"/>
    </row>
    <row r="38">
      <c r="A38" s="66"/>
      <c r="B38" s="24"/>
      <c r="C38" s="35"/>
      <c r="D38" s="77"/>
      <c r="E38" s="2"/>
      <c r="F38" s="20"/>
      <c r="G38" s="2"/>
      <c r="H38" s="2"/>
      <c r="I38" s="2"/>
      <c r="J38" s="55"/>
      <c r="K38" s="2"/>
      <c r="L38" s="9"/>
      <c r="M38" s="59">
        <v>45955.0</v>
      </c>
      <c r="N38" s="60" t="s">
        <v>178</v>
      </c>
      <c r="O38" s="60" t="s">
        <v>70</v>
      </c>
      <c r="P38" s="60" t="s">
        <v>23</v>
      </c>
      <c r="Q38" s="62">
        <v>26.25</v>
      </c>
      <c r="R38" s="60" t="s">
        <v>17</v>
      </c>
      <c r="S38" s="3"/>
      <c r="T38" s="2"/>
      <c r="U38" s="2"/>
      <c r="V38" s="55"/>
      <c r="W38" s="55"/>
      <c r="X38" s="55"/>
      <c r="Y38" s="58"/>
      <c r="Z38" s="55"/>
      <c r="AA38" s="119"/>
      <c r="AB38" s="120"/>
      <c r="AC38" s="120"/>
      <c r="AD38" s="120"/>
    </row>
    <row r="39">
      <c r="A39" s="66"/>
      <c r="B39" s="24"/>
      <c r="C39" s="35"/>
      <c r="D39" s="77"/>
      <c r="E39" s="2"/>
      <c r="F39" s="20"/>
      <c r="G39" s="2"/>
      <c r="H39" s="2"/>
      <c r="I39" s="2"/>
      <c r="J39" s="55"/>
      <c r="K39" s="2"/>
      <c r="L39" s="9"/>
      <c r="M39" s="59">
        <v>45955.0</v>
      </c>
      <c r="N39" s="60" t="s">
        <v>179</v>
      </c>
      <c r="O39" s="60" t="s">
        <v>66</v>
      </c>
      <c r="P39" s="60" t="s">
        <v>23</v>
      </c>
      <c r="Q39" s="62">
        <v>48.0</v>
      </c>
      <c r="R39" s="60" t="s">
        <v>17</v>
      </c>
      <c r="S39" s="3"/>
      <c r="T39" s="2"/>
      <c r="U39" s="2"/>
      <c r="V39" s="55"/>
      <c r="W39" s="55"/>
      <c r="X39" s="55"/>
      <c r="Y39" s="58"/>
      <c r="Z39" s="55"/>
      <c r="AA39" s="119"/>
      <c r="AB39" s="120"/>
      <c r="AC39" s="120"/>
      <c r="AD39" s="120"/>
    </row>
    <row r="40">
      <c r="A40" s="66"/>
      <c r="B40" s="24"/>
      <c r="C40" s="35"/>
      <c r="D40" s="77"/>
      <c r="E40" s="2"/>
      <c r="F40" s="20"/>
      <c r="G40" s="2"/>
      <c r="H40" s="2"/>
      <c r="I40" s="2"/>
      <c r="J40" s="55"/>
      <c r="K40" s="2"/>
      <c r="L40" s="9"/>
      <c r="M40" s="59">
        <v>45955.0</v>
      </c>
      <c r="N40" s="60" t="s">
        <v>180</v>
      </c>
      <c r="O40" s="60" t="s">
        <v>66</v>
      </c>
      <c r="P40" s="60" t="s">
        <v>23</v>
      </c>
      <c r="Q40" s="62">
        <v>36.0</v>
      </c>
      <c r="R40" s="60" t="s">
        <v>17</v>
      </c>
      <c r="S40" s="3"/>
      <c r="T40" s="2"/>
      <c r="U40" s="2"/>
      <c r="V40" s="55"/>
      <c r="W40" s="55"/>
      <c r="X40" s="55"/>
      <c r="Y40" s="58"/>
      <c r="Z40" s="55"/>
      <c r="AA40" s="119"/>
      <c r="AB40" s="120"/>
      <c r="AC40" s="120"/>
      <c r="AD40" s="120"/>
    </row>
    <row r="41">
      <c r="A41" s="66"/>
      <c r="B41" s="24"/>
      <c r="C41" s="35"/>
      <c r="D41" s="77"/>
      <c r="E41" s="2"/>
      <c r="F41" s="20"/>
      <c r="G41" s="2"/>
      <c r="H41" s="2"/>
      <c r="I41" s="2"/>
      <c r="J41" s="55"/>
      <c r="K41" s="2"/>
      <c r="L41" s="9"/>
      <c r="M41" s="40">
        <v>45955.0</v>
      </c>
      <c r="N41" s="37" t="s">
        <v>178</v>
      </c>
      <c r="O41" s="37" t="s">
        <v>70</v>
      </c>
      <c r="P41" s="38" t="s">
        <v>23</v>
      </c>
      <c r="Q41" s="38">
        <v>19.3</v>
      </c>
      <c r="R41" s="37" t="s">
        <v>17</v>
      </c>
      <c r="S41" s="3"/>
      <c r="T41" s="2"/>
      <c r="U41" s="2"/>
      <c r="V41" s="55"/>
      <c r="W41" s="55"/>
      <c r="X41" s="55"/>
      <c r="Y41" s="58"/>
      <c r="Z41" s="55"/>
      <c r="AA41" s="119"/>
      <c r="AB41" s="120"/>
      <c r="AC41" s="120"/>
      <c r="AD41" s="120"/>
    </row>
    <row r="42">
      <c r="A42" s="66"/>
      <c r="B42" s="24"/>
      <c r="C42" s="35"/>
      <c r="D42" s="77"/>
      <c r="E42" s="2"/>
      <c r="F42" s="20"/>
      <c r="G42" s="2"/>
      <c r="H42" s="2"/>
      <c r="I42" s="2"/>
      <c r="J42" s="55"/>
      <c r="K42" s="2"/>
      <c r="L42" s="9"/>
      <c r="M42" s="59">
        <v>45955.0</v>
      </c>
      <c r="N42" s="60" t="s">
        <v>181</v>
      </c>
      <c r="O42" s="60" t="s">
        <v>66</v>
      </c>
      <c r="P42" s="60" t="s">
        <v>23</v>
      </c>
      <c r="Q42" s="62">
        <v>93.28</v>
      </c>
      <c r="R42" s="60" t="s">
        <v>17</v>
      </c>
      <c r="S42" s="3"/>
      <c r="T42" s="2"/>
      <c r="U42" s="2"/>
      <c r="V42" s="55"/>
      <c r="W42" s="55"/>
      <c r="X42" s="55"/>
      <c r="Y42" s="58"/>
      <c r="Z42" s="55"/>
      <c r="AA42" s="119"/>
      <c r="AB42" s="120"/>
      <c r="AC42" s="120"/>
      <c r="AD42" s="120"/>
    </row>
    <row r="43">
      <c r="A43" s="66"/>
      <c r="B43" s="24"/>
      <c r="C43" s="35"/>
      <c r="D43" s="77"/>
      <c r="E43" s="2"/>
      <c r="F43" s="20"/>
      <c r="G43" s="2"/>
      <c r="H43" s="2"/>
      <c r="I43" s="2"/>
      <c r="J43" s="55"/>
      <c r="K43" s="2"/>
      <c r="L43" s="9"/>
      <c r="M43" s="59">
        <v>45955.0</v>
      </c>
      <c r="N43" s="60" t="s">
        <v>182</v>
      </c>
      <c r="O43" s="60" t="s">
        <v>70</v>
      </c>
      <c r="P43" s="60" t="s">
        <v>23</v>
      </c>
      <c r="Q43" s="62">
        <v>17.96</v>
      </c>
      <c r="R43" s="60" t="s">
        <v>17</v>
      </c>
      <c r="S43" s="3"/>
      <c r="T43" s="2"/>
      <c r="U43" s="2"/>
      <c r="V43" s="55"/>
      <c r="W43" s="55"/>
      <c r="X43" s="55"/>
      <c r="Y43" s="58"/>
      <c r="Z43" s="55"/>
      <c r="AA43" s="119"/>
      <c r="AB43" s="120"/>
      <c r="AC43" s="120"/>
      <c r="AD43" s="120"/>
    </row>
    <row r="44">
      <c r="A44" s="66"/>
      <c r="B44" s="24"/>
      <c r="C44" s="35"/>
      <c r="D44" s="77"/>
      <c r="E44" s="2"/>
      <c r="F44" s="20"/>
      <c r="G44" s="2"/>
      <c r="H44" s="2"/>
      <c r="I44" s="2"/>
      <c r="J44" s="55"/>
      <c r="K44" s="2"/>
      <c r="L44" s="9"/>
      <c r="M44" s="59">
        <v>45956.0</v>
      </c>
      <c r="N44" s="60" t="s">
        <v>183</v>
      </c>
      <c r="O44" s="60" t="s">
        <v>66</v>
      </c>
      <c r="P44" s="60" t="s">
        <v>23</v>
      </c>
      <c r="Q44" s="62">
        <v>52.0</v>
      </c>
      <c r="R44" s="60" t="s">
        <v>17</v>
      </c>
      <c r="S44" s="3"/>
      <c r="T44" s="2"/>
      <c r="U44" s="2"/>
      <c r="V44" s="55"/>
      <c r="W44" s="55"/>
      <c r="X44" s="55"/>
      <c r="Y44" s="58"/>
      <c r="Z44" s="55"/>
      <c r="AA44" s="119"/>
      <c r="AB44" s="120"/>
      <c r="AC44" s="120"/>
      <c r="AD44" s="120"/>
    </row>
    <row r="45">
      <c r="A45" s="66"/>
      <c r="B45" s="24"/>
      <c r="C45" s="78"/>
      <c r="D45" s="78"/>
      <c r="E45" s="78"/>
      <c r="F45" s="2"/>
      <c r="G45" s="2"/>
      <c r="H45" s="2"/>
      <c r="I45" s="2"/>
      <c r="J45" s="55"/>
      <c r="K45" s="2"/>
      <c r="L45" s="9"/>
      <c r="M45" s="59">
        <v>45956.0</v>
      </c>
      <c r="N45" s="60" t="s">
        <v>184</v>
      </c>
      <c r="O45" s="60" t="s">
        <v>66</v>
      </c>
      <c r="P45" s="60" t="s">
        <v>23</v>
      </c>
      <c r="Q45" s="62">
        <v>12.56</v>
      </c>
      <c r="R45" s="60" t="s">
        <v>17</v>
      </c>
      <c r="S45" s="3"/>
      <c r="T45" s="2"/>
      <c r="U45" s="2"/>
      <c r="V45" s="55"/>
      <c r="W45" s="55"/>
      <c r="X45" s="55"/>
      <c r="Y45" s="58"/>
      <c r="Z45" s="55"/>
      <c r="AA45" s="119"/>
      <c r="AB45" s="120"/>
      <c r="AC45" s="120"/>
      <c r="AD45" s="120"/>
    </row>
    <row r="46">
      <c r="A46" s="66"/>
      <c r="B46" s="24"/>
      <c r="C46" s="78"/>
      <c r="D46" s="78"/>
      <c r="E46" s="78"/>
      <c r="F46" s="2"/>
      <c r="G46" s="2"/>
      <c r="H46" s="2"/>
      <c r="I46" s="2"/>
      <c r="J46" s="55"/>
      <c r="K46" s="2"/>
      <c r="L46" s="9"/>
      <c r="M46" s="59">
        <v>45956.0</v>
      </c>
      <c r="N46" s="60" t="s">
        <v>185</v>
      </c>
      <c r="O46" s="60" t="s">
        <v>70</v>
      </c>
      <c r="P46" s="60" t="s">
        <v>23</v>
      </c>
      <c r="Q46" s="62">
        <v>13.2</v>
      </c>
      <c r="R46" s="60" t="s">
        <v>17</v>
      </c>
      <c r="S46" s="3"/>
      <c r="T46" s="2"/>
      <c r="U46" s="2"/>
      <c r="V46" s="55"/>
      <c r="W46" s="55"/>
      <c r="X46" s="55"/>
      <c r="Y46" s="58"/>
      <c r="Z46" s="55"/>
      <c r="AA46" s="119"/>
      <c r="AB46" s="120"/>
      <c r="AC46" s="120"/>
      <c r="AD46" s="120"/>
    </row>
    <row r="47">
      <c r="A47" s="66"/>
      <c r="B47" s="24"/>
      <c r="C47" s="78"/>
      <c r="D47" s="78"/>
      <c r="E47" s="78"/>
      <c r="F47" s="2"/>
      <c r="G47" s="2"/>
      <c r="H47" s="2"/>
      <c r="I47" s="2"/>
      <c r="J47" s="55"/>
      <c r="K47" s="2"/>
      <c r="L47" s="9"/>
      <c r="M47" s="59">
        <v>45958.0</v>
      </c>
      <c r="N47" s="60" t="s">
        <v>186</v>
      </c>
      <c r="O47" s="60" t="s">
        <v>66</v>
      </c>
      <c r="P47" s="60" t="s">
        <v>23</v>
      </c>
      <c r="Q47" s="62">
        <v>63.28</v>
      </c>
      <c r="R47" s="60" t="s">
        <v>17</v>
      </c>
      <c r="S47" s="3"/>
      <c r="T47" s="2"/>
      <c r="U47" s="2"/>
      <c r="V47" s="55"/>
      <c r="W47" s="55"/>
      <c r="X47" s="55"/>
      <c r="Y47" s="58"/>
      <c r="Z47" s="55"/>
      <c r="AA47" s="119"/>
      <c r="AB47" s="120"/>
      <c r="AC47" s="120"/>
      <c r="AD47" s="120"/>
    </row>
    <row r="48">
      <c r="A48" s="66"/>
      <c r="B48" s="24"/>
      <c r="C48" s="78"/>
      <c r="D48" s="78"/>
      <c r="E48" s="78"/>
      <c r="F48" s="2"/>
      <c r="G48" s="2"/>
      <c r="H48" s="2"/>
      <c r="I48" s="2"/>
      <c r="J48" s="55"/>
      <c r="K48" s="2"/>
      <c r="L48" s="9"/>
      <c r="M48" s="59">
        <v>45958.0</v>
      </c>
      <c r="N48" s="60" t="s">
        <v>187</v>
      </c>
      <c r="O48" s="60" t="s">
        <v>66</v>
      </c>
      <c r="P48" s="60" t="s">
        <v>23</v>
      </c>
      <c r="Q48" s="62">
        <v>18.0</v>
      </c>
      <c r="R48" s="60" t="s">
        <v>17</v>
      </c>
      <c r="S48" s="3"/>
      <c r="T48" s="2"/>
      <c r="U48" s="2"/>
      <c r="V48" s="55"/>
      <c r="W48" s="55"/>
      <c r="X48" s="55"/>
      <c r="Y48" s="58"/>
      <c r="Z48" s="55"/>
      <c r="AA48" s="119"/>
      <c r="AB48" s="120"/>
      <c r="AC48" s="120"/>
      <c r="AD48" s="120"/>
    </row>
    <row r="49">
      <c r="A49" s="66"/>
      <c r="B49" s="24"/>
      <c r="C49" s="78"/>
      <c r="D49" s="78"/>
      <c r="E49" s="78"/>
      <c r="F49" s="2"/>
      <c r="G49" s="2"/>
      <c r="H49" s="2"/>
      <c r="I49" s="2"/>
      <c r="J49" s="55"/>
      <c r="K49" s="2"/>
      <c r="L49" s="9"/>
      <c r="M49" s="59">
        <v>45958.0</v>
      </c>
      <c r="N49" s="60" t="s">
        <v>188</v>
      </c>
      <c r="O49" s="60" t="s">
        <v>70</v>
      </c>
      <c r="P49" s="60" t="s">
        <v>23</v>
      </c>
      <c r="Q49" s="62">
        <v>8.9</v>
      </c>
      <c r="R49" s="60" t="s">
        <v>17</v>
      </c>
      <c r="S49" s="3"/>
      <c r="T49" s="2"/>
      <c r="U49" s="2"/>
      <c r="V49" s="55"/>
      <c r="W49" s="55"/>
      <c r="X49" s="55"/>
      <c r="Y49" s="58"/>
      <c r="Z49" s="55"/>
      <c r="AA49" s="119"/>
      <c r="AB49" s="120"/>
      <c r="AC49" s="120"/>
      <c r="AD49" s="120"/>
    </row>
    <row r="50">
      <c r="A50" s="66"/>
      <c r="B50" s="24"/>
      <c r="C50" s="78"/>
      <c r="D50" s="78"/>
      <c r="E50" s="78"/>
      <c r="F50" s="2"/>
      <c r="G50" s="2"/>
      <c r="H50" s="2"/>
      <c r="I50" s="2"/>
      <c r="J50" s="55"/>
      <c r="K50" s="2"/>
      <c r="L50" s="9"/>
      <c r="M50" s="59">
        <v>45958.0</v>
      </c>
      <c r="N50" s="60" t="s">
        <v>189</v>
      </c>
      <c r="O50" s="60" t="s">
        <v>70</v>
      </c>
      <c r="P50" s="60" t="s">
        <v>23</v>
      </c>
      <c r="Q50" s="62">
        <v>18.6</v>
      </c>
      <c r="R50" s="60" t="s">
        <v>17</v>
      </c>
      <c r="S50" s="3"/>
      <c r="T50" s="2"/>
      <c r="U50" s="2"/>
      <c r="V50" s="55"/>
      <c r="W50" s="55"/>
      <c r="X50" s="55"/>
      <c r="Y50" s="58"/>
      <c r="Z50" s="55"/>
      <c r="AA50" s="119"/>
      <c r="AB50" s="120"/>
      <c r="AC50" s="120"/>
      <c r="AD50" s="120"/>
    </row>
    <row r="51">
      <c r="A51" s="66"/>
      <c r="B51" s="24"/>
      <c r="C51" s="78"/>
      <c r="D51" s="78"/>
      <c r="E51" s="78"/>
      <c r="F51" s="2"/>
      <c r="G51" s="2"/>
      <c r="H51" s="2"/>
      <c r="I51" s="2"/>
      <c r="J51" s="55"/>
      <c r="K51" s="2"/>
      <c r="L51" s="9"/>
      <c r="M51" s="59">
        <v>45959.0</v>
      </c>
      <c r="N51" s="60" t="s">
        <v>190</v>
      </c>
      <c r="O51" s="60" t="s">
        <v>70</v>
      </c>
      <c r="P51" s="60" t="s">
        <v>23</v>
      </c>
      <c r="Q51" s="62">
        <v>8.8</v>
      </c>
      <c r="R51" s="60" t="s">
        <v>17</v>
      </c>
      <c r="S51" s="3"/>
      <c r="T51" s="2"/>
      <c r="U51" s="2"/>
      <c r="V51" s="55"/>
      <c r="W51" s="55"/>
      <c r="X51" s="55"/>
      <c r="Y51" s="58"/>
      <c r="Z51" s="55"/>
      <c r="AA51" s="119"/>
      <c r="AB51" s="120"/>
      <c r="AC51" s="120"/>
      <c r="AD51" s="120"/>
    </row>
    <row r="52">
      <c r="A52" s="66"/>
      <c r="B52" s="24"/>
      <c r="C52" s="78"/>
      <c r="D52" s="78"/>
      <c r="E52" s="78"/>
      <c r="F52" s="2"/>
      <c r="G52" s="2"/>
      <c r="H52" s="2"/>
      <c r="I52" s="2"/>
      <c r="J52" s="55"/>
      <c r="K52" s="2"/>
      <c r="L52" s="9"/>
      <c r="M52" s="40">
        <v>45959.0</v>
      </c>
      <c r="N52" s="37" t="s">
        <v>191</v>
      </c>
      <c r="O52" s="37" t="s">
        <v>81</v>
      </c>
      <c r="P52" s="37" t="s">
        <v>23</v>
      </c>
      <c r="Q52" s="38">
        <v>28.49</v>
      </c>
      <c r="R52" s="37" t="s">
        <v>17</v>
      </c>
      <c r="S52" s="3"/>
      <c r="T52" s="2"/>
      <c r="U52" s="2"/>
      <c r="V52" s="55"/>
      <c r="W52" s="55"/>
      <c r="X52" s="55"/>
      <c r="Y52" s="58"/>
      <c r="Z52" s="55"/>
      <c r="AA52" s="119"/>
      <c r="AB52" s="120"/>
      <c r="AC52" s="120"/>
      <c r="AD52" s="120"/>
    </row>
    <row r="53">
      <c r="A53" s="66"/>
      <c r="B53" s="24"/>
      <c r="C53" s="78"/>
      <c r="D53" s="78"/>
      <c r="E53" s="78"/>
      <c r="F53" s="2"/>
      <c r="G53" s="2"/>
      <c r="H53" s="2"/>
      <c r="I53" s="2"/>
      <c r="J53" s="55"/>
      <c r="K53" s="2"/>
      <c r="L53" s="9"/>
      <c r="M53" s="59">
        <v>45959.0</v>
      </c>
      <c r="N53" s="60" t="s">
        <v>192</v>
      </c>
      <c r="O53" s="60" t="s">
        <v>70</v>
      </c>
      <c r="P53" s="60" t="s">
        <v>23</v>
      </c>
      <c r="Q53" s="62">
        <v>8.8</v>
      </c>
      <c r="R53" s="60" t="s">
        <v>17</v>
      </c>
      <c r="S53" s="3"/>
      <c r="T53" s="2"/>
      <c r="U53" s="2"/>
      <c r="V53" s="55"/>
      <c r="W53" s="55"/>
      <c r="X53" s="55"/>
      <c r="Y53" s="58"/>
      <c r="Z53" s="55"/>
      <c r="AA53" s="119"/>
      <c r="AB53" s="120"/>
      <c r="AC53" s="120"/>
      <c r="AD53" s="120"/>
    </row>
    <row r="54">
      <c r="A54" s="66"/>
      <c r="B54" s="24"/>
      <c r="C54" s="35"/>
      <c r="D54" s="77"/>
      <c r="E54" s="2"/>
      <c r="F54" s="2"/>
      <c r="G54" s="2"/>
      <c r="H54" s="2"/>
      <c r="I54" s="2"/>
      <c r="J54" s="55"/>
      <c r="K54" s="2"/>
      <c r="L54" s="9"/>
      <c r="M54" s="59">
        <v>45959.0</v>
      </c>
      <c r="N54" s="60" t="s">
        <v>193</v>
      </c>
      <c r="O54" s="60" t="s">
        <v>66</v>
      </c>
      <c r="P54" s="60" t="s">
        <v>23</v>
      </c>
      <c r="Q54" s="62">
        <v>35.2</v>
      </c>
      <c r="R54" s="60" t="s">
        <v>17</v>
      </c>
      <c r="S54" s="3"/>
      <c r="T54" s="2"/>
      <c r="U54" s="2"/>
      <c r="V54" s="55"/>
      <c r="W54" s="55"/>
      <c r="X54" s="55"/>
      <c r="Y54" s="58"/>
      <c r="Z54" s="55"/>
      <c r="AA54" s="119"/>
      <c r="AB54" s="120"/>
      <c r="AC54" s="120"/>
      <c r="AD54" s="120"/>
    </row>
    <row r="55">
      <c r="A55" s="66"/>
      <c r="B55" s="24"/>
      <c r="C55" s="35"/>
      <c r="D55" s="77"/>
      <c r="E55" s="2"/>
      <c r="F55" s="20"/>
      <c r="G55" s="2"/>
      <c r="H55" s="2"/>
      <c r="I55" s="2"/>
      <c r="J55" s="55"/>
      <c r="K55" s="2"/>
      <c r="L55" s="9"/>
      <c r="M55" s="59">
        <v>45961.0</v>
      </c>
      <c r="N55" s="60" t="s">
        <v>194</v>
      </c>
      <c r="O55" s="60" t="s">
        <v>81</v>
      </c>
      <c r="P55" s="60" t="s">
        <v>23</v>
      </c>
      <c r="Q55" s="62">
        <v>30.0</v>
      </c>
      <c r="R55" s="60" t="s">
        <v>17</v>
      </c>
      <c r="S55" s="3"/>
      <c r="T55" s="2"/>
      <c r="U55" s="2"/>
      <c r="V55" s="55"/>
      <c r="W55" s="55"/>
      <c r="X55" s="55"/>
      <c r="Y55" s="58"/>
      <c r="Z55" s="55"/>
      <c r="AA55" s="119"/>
      <c r="AB55" s="120"/>
      <c r="AC55" s="120"/>
      <c r="AD55" s="120"/>
    </row>
    <row r="56">
      <c r="A56" s="66"/>
      <c r="B56" s="24"/>
      <c r="C56" s="35"/>
      <c r="D56" s="77"/>
      <c r="E56" s="2"/>
      <c r="F56" s="20"/>
      <c r="G56" s="2"/>
      <c r="H56" s="2"/>
      <c r="I56" s="2"/>
      <c r="J56" s="55"/>
      <c r="K56" s="2"/>
      <c r="L56" s="9"/>
      <c r="M56" s="59">
        <v>45961.0</v>
      </c>
      <c r="N56" s="60" t="s">
        <v>195</v>
      </c>
      <c r="O56" s="60" t="s">
        <v>70</v>
      </c>
      <c r="P56" s="60" t="s">
        <v>23</v>
      </c>
      <c r="Q56" s="62">
        <v>19.6</v>
      </c>
      <c r="R56" s="60" t="s">
        <v>17</v>
      </c>
      <c r="S56" s="3"/>
      <c r="T56" s="2"/>
      <c r="U56" s="2"/>
      <c r="V56" s="55"/>
      <c r="W56" s="55"/>
      <c r="X56" s="55"/>
      <c r="Y56" s="58"/>
      <c r="Z56" s="55"/>
      <c r="AA56" s="119"/>
      <c r="AB56" s="120"/>
      <c r="AC56" s="120"/>
      <c r="AD56" s="120"/>
    </row>
    <row r="57">
      <c r="A57" s="66"/>
      <c r="B57" s="24"/>
      <c r="C57" s="35"/>
      <c r="D57" s="77"/>
      <c r="E57" s="2"/>
      <c r="F57" s="20"/>
      <c r="G57" s="2"/>
      <c r="H57" s="2"/>
      <c r="I57" s="2"/>
      <c r="J57" s="55"/>
      <c r="K57" s="2"/>
      <c r="L57" s="9"/>
      <c r="M57" s="40">
        <v>45961.0</v>
      </c>
      <c r="N57" s="37" t="s">
        <v>196</v>
      </c>
      <c r="O57" s="37" t="s">
        <v>70</v>
      </c>
      <c r="P57" s="38" t="s">
        <v>23</v>
      </c>
      <c r="Q57" s="38">
        <v>32.9</v>
      </c>
      <c r="R57" s="37" t="s">
        <v>17</v>
      </c>
      <c r="S57" s="3"/>
      <c r="T57" s="2"/>
      <c r="U57" s="2"/>
      <c r="V57" s="55"/>
      <c r="W57" s="55"/>
      <c r="X57" s="55"/>
      <c r="Y57" s="58"/>
      <c r="Z57" s="55"/>
      <c r="AA57" s="119"/>
      <c r="AB57" s="120"/>
      <c r="AC57" s="120"/>
      <c r="AD57" s="120"/>
    </row>
    <row r="58">
      <c r="A58" s="66"/>
      <c r="B58" s="24"/>
      <c r="C58" s="35"/>
      <c r="D58" s="77"/>
      <c r="E58" s="2"/>
      <c r="F58" s="20"/>
      <c r="G58" s="2"/>
      <c r="H58" s="2"/>
      <c r="I58" s="2"/>
      <c r="J58" s="55"/>
      <c r="K58" s="2"/>
      <c r="L58" s="9"/>
      <c r="M58" s="59">
        <v>45962.0</v>
      </c>
      <c r="N58" s="60" t="s">
        <v>197</v>
      </c>
      <c r="O58" s="60" t="s">
        <v>81</v>
      </c>
      <c r="P58" s="60" t="s">
        <v>23</v>
      </c>
      <c r="Q58" s="62">
        <v>7.0</v>
      </c>
      <c r="R58" s="60" t="s">
        <v>17</v>
      </c>
      <c r="S58" s="3"/>
      <c r="T58" s="2"/>
      <c r="U58" s="2"/>
      <c r="V58" s="55"/>
      <c r="W58" s="55"/>
      <c r="X58" s="55"/>
      <c r="Y58" s="58"/>
      <c r="Z58" s="55"/>
      <c r="AA58" s="119"/>
      <c r="AB58" s="120"/>
      <c r="AC58" s="120"/>
      <c r="AD58" s="120"/>
    </row>
    <row r="59">
      <c r="A59" s="66"/>
      <c r="B59" s="24"/>
      <c r="C59" s="35"/>
      <c r="D59" s="77"/>
      <c r="E59" s="2"/>
      <c r="F59" s="20"/>
      <c r="G59" s="2"/>
      <c r="H59" s="2"/>
      <c r="I59" s="2"/>
      <c r="J59" s="55"/>
      <c r="K59" s="2"/>
      <c r="L59" s="9"/>
      <c r="M59" s="59">
        <v>45963.0</v>
      </c>
      <c r="N59" s="60" t="s">
        <v>198</v>
      </c>
      <c r="O59" s="60" t="s">
        <v>66</v>
      </c>
      <c r="P59" s="60" t="s">
        <v>23</v>
      </c>
      <c r="Q59" s="62">
        <v>70.0</v>
      </c>
      <c r="R59" s="60" t="s">
        <v>17</v>
      </c>
      <c r="S59" s="3"/>
      <c r="T59" s="2"/>
      <c r="U59" s="2"/>
      <c r="V59" s="55"/>
      <c r="W59" s="55"/>
      <c r="X59" s="55"/>
      <c r="Y59" s="58"/>
      <c r="Z59" s="55"/>
      <c r="AA59" s="119"/>
      <c r="AB59" s="120"/>
      <c r="AC59" s="120"/>
      <c r="AD59" s="120"/>
    </row>
    <row r="60">
      <c r="A60" s="66"/>
      <c r="B60" s="24"/>
      <c r="C60" s="35"/>
      <c r="D60" s="77"/>
      <c r="E60" s="2"/>
      <c r="F60" s="20"/>
      <c r="G60" s="2"/>
      <c r="H60" s="2"/>
      <c r="I60" s="2"/>
      <c r="J60" s="55"/>
      <c r="K60" s="2"/>
      <c r="L60" s="9"/>
      <c r="M60" s="59">
        <v>45964.0</v>
      </c>
      <c r="N60" s="60" t="s">
        <v>194</v>
      </c>
      <c r="O60" s="60" t="s">
        <v>81</v>
      </c>
      <c r="P60" s="60" t="s">
        <v>23</v>
      </c>
      <c r="Q60" s="62">
        <v>47.5</v>
      </c>
      <c r="R60" s="60" t="s">
        <v>17</v>
      </c>
      <c r="S60" s="3"/>
      <c r="T60" s="2"/>
      <c r="U60" s="2"/>
      <c r="V60" s="55"/>
      <c r="W60" s="55"/>
      <c r="X60" s="55"/>
      <c r="Y60" s="58"/>
      <c r="Z60" s="55"/>
      <c r="AA60" s="119"/>
      <c r="AB60" s="120"/>
      <c r="AC60" s="120"/>
      <c r="AD60" s="120"/>
    </row>
    <row r="61">
      <c r="A61" s="66"/>
      <c r="B61" s="24"/>
      <c r="C61" s="35"/>
      <c r="D61" s="77"/>
      <c r="E61" s="2"/>
      <c r="F61" s="20"/>
      <c r="G61" s="2"/>
      <c r="H61" s="2"/>
      <c r="I61" s="2"/>
      <c r="J61" s="55"/>
      <c r="K61" s="2"/>
      <c r="L61" s="9"/>
      <c r="M61" s="59">
        <v>45964.0</v>
      </c>
      <c r="N61" s="60" t="s">
        <v>199</v>
      </c>
      <c r="O61" s="60" t="s">
        <v>70</v>
      </c>
      <c r="P61" s="60" t="s">
        <v>23</v>
      </c>
      <c r="Q61" s="62">
        <v>21.94</v>
      </c>
      <c r="R61" s="60" t="s">
        <v>17</v>
      </c>
      <c r="S61" s="3"/>
      <c r="T61" s="2"/>
      <c r="U61" s="2"/>
      <c r="V61" s="55"/>
      <c r="W61" s="55"/>
      <c r="X61" s="55"/>
      <c r="Y61" s="58"/>
      <c r="Z61" s="55"/>
      <c r="AA61" s="119"/>
      <c r="AB61" s="120"/>
      <c r="AC61" s="120"/>
      <c r="AD61" s="120"/>
    </row>
    <row r="62">
      <c r="A62" s="66"/>
      <c r="B62" s="24"/>
      <c r="C62" s="35"/>
      <c r="D62" s="77"/>
      <c r="E62" s="2"/>
      <c r="F62" s="20"/>
      <c r="G62" s="2"/>
      <c r="H62" s="2"/>
      <c r="I62" s="2"/>
      <c r="J62" s="55"/>
      <c r="K62" s="2"/>
      <c r="L62" s="9"/>
      <c r="M62" s="59">
        <v>45964.0</v>
      </c>
      <c r="N62" s="60" t="s">
        <v>200</v>
      </c>
      <c r="O62" s="60" t="s">
        <v>70</v>
      </c>
      <c r="P62" s="60" t="s">
        <v>23</v>
      </c>
      <c r="Q62" s="62">
        <v>19.5</v>
      </c>
      <c r="R62" s="60" t="s">
        <v>17</v>
      </c>
      <c r="S62" s="3"/>
      <c r="T62" s="2"/>
      <c r="U62" s="2"/>
      <c r="V62" s="55"/>
      <c r="W62" s="55"/>
      <c r="X62" s="55"/>
      <c r="Y62" s="58"/>
      <c r="Z62" s="55"/>
      <c r="AA62" s="119"/>
      <c r="AB62" s="120"/>
      <c r="AC62" s="120"/>
      <c r="AD62" s="120"/>
    </row>
    <row r="63">
      <c r="A63" s="66"/>
      <c r="B63" s="24"/>
      <c r="C63" s="35"/>
      <c r="D63" s="77"/>
      <c r="E63" s="2"/>
      <c r="F63" s="20"/>
      <c r="G63" s="2"/>
      <c r="H63" s="2"/>
      <c r="I63" s="2"/>
      <c r="J63" s="55"/>
      <c r="K63" s="2"/>
      <c r="L63" s="9"/>
      <c r="M63" s="59">
        <v>45965.0</v>
      </c>
      <c r="N63" s="60" t="s">
        <v>201</v>
      </c>
      <c r="O63" s="60" t="s">
        <v>66</v>
      </c>
      <c r="P63" s="60" t="s">
        <v>23</v>
      </c>
      <c r="Q63" s="62">
        <v>51.6</v>
      </c>
      <c r="R63" s="60" t="s">
        <v>17</v>
      </c>
      <c r="S63" s="3"/>
      <c r="T63" s="2"/>
      <c r="U63" s="2"/>
      <c r="V63" s="55"/>
      <c r="W63" s="55"/>
      <c r="X63" s="55"/>
      <c r="Y63" s="58"/>
      <c r="Z63" s="55"/>
      <c r="AA63" s="119"/>
      <c r="AB63" s="120"/>
      <c r="AC63" s="120"/>
      <c r="AD63" s="120"/>
    </row>
    <row r="64">
      <c r="A64" s="66"/>
      <c r="B64" s="24"/>
      <c r="C64" s="35"/>
      <c r="D64" s="77"/>
      <c r="E64" s="2"/>
      <c r="F64" s="20"/>
      <c r="G64" s="2"/>
      <c r="H64" s="2"/>
      <c r="I64" s="2"/>
      <c r="J64" s="55"/>
      <c r="K64" s="2"/>
      <c r="L64" s="9"/>
      <c r="M64" s="59">
        <v>45965.0</v>
      </c>
      <c r="N64" s="60" t="s">
        <v>202</v>
      </c>
      <c r="O64" s="60" t="s">
        <v>66</v>
      </c>
      <c r="P64" s="60" t="s">
        <v>23</v>
      </c>
      <c r="Q64" s="62">
        <v>20.58</v>
      </c>
      <c r="R64" s="60" t="s">
        <v>17</v>
      </c>
      <c r="S64" s="3"/>
      <c r="T64" s="2"/>
      <c r="U64" s="2"/>
      <c r="V64" s="55"/>
      <c r="W64" s="55"/>
      <c r="X64" s="55"/>
      <c r="Y64" s="58"/>
      <c r="Z64" s="55"/>
      <c r="AA64" s="119"/>
      <c r="AB64" s="120"/>
      <c r="AC64" s="120"/>
      <c r="AD64" s="120"/>
    </row>
    <row r="65">
      <c r="A65" s="66"/>
      <c r="B65" s="24"/>
      <c r="C65" s="35"/>
      <c r="D65" s="77"/>
      <c r="E65" s="2"/>
      <c r="F65" s="20"/>
      <c r="G65" s="2"/>
      <c r="H65" s="2"/>
      <c r="I65" s="2"/>
      <c r="J65" s="55"/>
      <c r="K65" s="2"/>
      <c r="L65" s="9"/>
      <c r="M65" s="59">
        <v>45965.0</v>
      </c>
      <c r="N65" s="60" t="s">
        <v>203</v>
      </c>
      <c r="O65" s="60" t="s">
        <v>70</v>
      </c>
      <c r="P65" s="60" t="s">
        <v>23</v>
      </c>
      <c r="Q65" s="62">
        <v>20.5</v>
      </c>
      <c r="R65" s="60" t="s">
        <v>17</v>
      </c>
      <c r="S65" s="3"/>
      <c r="T65" s="2"/>
      <c r="U65" s="2"/>
      <c r="V65" s="55"/>
      <c r="W65" s="55"/>
      <c r="X65" s="55"/>
      <c r="Y65" s="58"/>
      <c r="Z65" s="55"/>
      <c r="AA65" s="119"/>
      <c r="AB65" s="120"/>
      <c r="AC65" s="120"/>
      <c r="AD65" s="120"/>
    </row>
    <row r="66">
      <c r="A66" s="66"/>
      <c r="B66" s="24"/>
      <c r="C66" s="35"/>
      <c r="D66" s="77"/>
      <c r="E66" s="2"/>
      <c r="F66" s="20"/>
      <c r="G66" s="2"/>
      <c r="H66" s="2"/>
      <c r="I66" s="2"/>
      <c r="J66" s="55"/>
      <c r="K66" s="2"/>
      <c r="L66" s="9"/>
      <c r="M66" s="59">
        <v>45966.0</v>
      </c>
      <c r="N66" s="60" t="s">
        <v>204</v>
      </c>
      <c r="O66" s="60" t="s">
        <v>19</v>
      </c>
      <c r="P66" s="60" t="s">
        <v>23</v>
      </c>
      <c r="Q66" s="62">
        <v>100.0</v>
      </c>
      <c r="R66" s="60" t="s">
        <v>44</v>
      </c>
      <c r="S66" s="3"/>
      <c r="T66" s="2"/>
      <c r="U66" s="2"/>
      <c r="V66" s="55"/>
      <c r="W66" s="55"/>
      <c r="X66" s="55"/>
      <c r="Y66" s="58"/>
      <c r="Z66" s="55"/>
      <c r="AA66" s="119"/>
      <c r="AB66" s="120"/>
      <c r="AC66" s="120"/>
      <c r="AD66" s="120"/>
    </row>
    <row r="67">
      <c r="A67" s="66"/>
      <c r="B67" s="24"/>
      <c r="C67" s="35"/>
      <c r="D67" s="77"/>
      <c r="E67" s="2"/>
      <c r="F67" s="20"/>
      <c r="G67" s="2"/>
      <c r="H67" s="2"/>
      <c r="I67" s="2"/>
      <c r="J67" s="55"/>
      <c r="K67" s="2"/>
      <c r="L67" s="9"/>
      <c r="M67" s="59">
        <v>45966.0</v>
      </c>
      <c r="N67" s="60" t="s">
        <v>205</v>
      </c>
      <c r="O67" s="60" t="s">
        <v>70</v>
      </c>
      <c r="P67" s="60" t="s">
        <v>23</v>
      </c>
      <c r="Q67" s="62">
        <v>24.95</v>
      </c>
      <c r="R67" s="60" t="s">
        <v>17</v>
      </c>
      <c r="S67" s="3"/>
      <c r="T67" s="2"/>
      <c r="U67" s="2"/>
      <c r="V67" s="55"/>
      <c r="W67" s="55"/>
      <c r="X67" s="55"/>
      <c r="Y67" s="58"/>
      <c r="Z67" s="55"/>
      <c r="AA67" s="119"/>
      <c r="AB67" s="120"/>
      <c r="AC67" s="120"/>
      <c r="AD67" s="120"/>
    </row>
    <row r="68">
      <c r="A68" s="66"/>
      <c r="B68" s="24"/>
      <c r="C68" s="35"/>
      <c r="D68" s="77"/>
      <c r="E68" s="2"/>
      <c r="F68" s="20"/>
      <c r="G68" s="2"/>
      <c r="H68" s="2"/>
      <c r="I68" s="2"/>
      <c r="J68" s="55"/>
      <c r="K68" s="2"/>
      <c r="L68" s="9"/>
      <c r="M68" s="59">
        <v>45966.0</v>
      </c>
      <c r="N68" s="60" t="s">
        <v>206</v>
      </c>
      <c r="O68" s="60" t="s">
        <v>27</v>
      </c>
      <c r="P68" s="60" t="s">
        <v>23</v>
      </c>
      <c r="Q68" s="62">
        <v>113.56</v>
      </c>
      <c r="R68" s="60" t="s">
        <v>17</v>
      </c>
      <c r="S68" s="3"/>
      <c r="T68" s="2"/>
      <c r="U68" s="2"/>
      <c r="V68" s="55"/>
      <c r="W68" s="55"/>
      <c r="X68" s="55"/>
      <c r="Y68" s="58"/>
      <c r="Z68" s="55"/>
      <c r="AA68" s="119"/>
      <c r="AB68" s="120"/>
      <c r="AC68" s="120"/>
      <c r="AD68" s="120"/>
    </row>
    <row r="69">
      <c r="A69" s="66"/>
      <c r="B69" s="24"/>
      <c r="C69" s="35"/>
      <c r="D69" s="77"/>
      <c r="E69" s="2"/>
      <c r="F69" s="20"/>
      <c r="G69" s="2"/>
      <c r="H69" s="2"/>
      <c r="I69" s="2"/>
      <c r="J69" s="55"/>
      <c r="K69" s="2"/>
      <c r="L69" s="9"/>
      <c r="M69" s="59">
        <v>45967.0</v>
      </c>
      <c r="N69" s="60" t="s">
        <v>207</v>
      </c>
      <c r="O69" s="60" t="s">
        <v>70</v>
      </c>
      <c r="P69" s="60" t="s">
        <v>23</v>
      </c>
      <c r="Q69" s="62">
        <v>35.89</v>
      </c>
      <c r="R69" s="60" t="s">
        <v>17</v>
      </c>
      <c r="S69" s="3"/>
      <c r="T69" s="2"/>
      <c r="U69" s="2"/>
      <c r="V69" s="55"/>
      <c r="W69" s="55"/>
      <c r="X69" s="55"/>
      <c r="Y69" s="58"/>
      <c r="Z69" s="55"/>
      <c r="AA69" s="119"/>
      <c r="AB69" s="120"/>
      <c r="AC69" s="120"/>
      <c r="AD69" s="120"/>
    </row>
    <row r="70">
      <c r="A70" s="66"/>
      <c r="B70" s="24"/>
      <c r="C70" s="35"/>
      <c r="D70" s="77"/>
      <c r="E70" s="2"/>
      <c r="F70" s="20"/>
      <c r="G70" s="2"/>
      <c r="H70" s="2"/>
      <c r="I70" s="2"/>
      <c r="J70" s="55"/>
      <c r="K70" s="2"/>
      <c r="L70" s="9"/>
      <c r="M70" s="59">
        <v>45967.0</v>
      </c>
      <c r="N70" s="60" t="s">
        <v>176</v>
      </c>
      <c r="O70" s="60" t="s">
        <v>81</v>
      </c>
      <c r="P70" s="60" t="s">
        <v>23</v>
      </c>
      <c r="Q70" s="62">
        <v>3.5</v>
      </c>
      <c r="R70" s="60" t="s">
        <v>17</v>
      </c>
      <c r="S70" s="3"/>
      <c r="T70" s="2"/>
      <c r="U70" s="2"/>
      <c r="V70" s="55"/>
      <c r="W70" s="55"/>
      <c r="X70" s="55"/>
      <c r="Y70" s="58"/>
      <c r="Z70" s="55"/>
      <c r="AA70" s="119"/>
      <c r="AB70" s="120"/>
      <c r="AC70" s="120"/>
      <c r="AD70" s="120"/>
    </row>
    <row r="71">
      <c r="A71" s="66"/>
      <c r="B71" s="24"/>
      <c r="C71" s="35"/>
      <c r="D71" s="77"/>
      <c r="E71" s="2"/>
      <c r="F71" s="20"/>
      <c r="G71" s="2"/>
      <c r="H71" s="2"/>
      <c r="I71" s="2"/>
      <c r="J71" s="55"/>
      <c r="K71" s="2"/>
      <c r="L71" s="9"/>
      <c r="M71" s="59">
        <v>45971.0</v>
      </c>
      <c r="N71" s="60" t="s">
        <v>208</v>
      </c>
      <c r="O71" s="60" t="s">
        <v>81</v>
      </c>
      <c r="P71" s="60" t="s">
        <v>23</v>
      </c>
      <c r="Q71" s="62">
        <v>27.79</v>
      </c>
      <c r="R71" s="60" t="s">
        <v>17</v>
      </c>
      <c r="S71" s="3"/>
      <c r="T71" s="2"/>
      <c r="U71" s="2"/>
      <c r="V71" s="55"/>
      <c r="W71" s="55"/>
      <c r="X71" s="55"/>
      <c r="Y71" s="58"/>
      <c r="Z71" s="55"/>
      <c r="AA71" s="119"/>
      <c r="AB71" s="120"/>
      <c r="AC71" s="120"/>
      <c r="AD71" s="120"/>
    </row>
    <row r="72">
      <c r="A72" s="66"/>
      <c r="B72" s="24"/>
      <c r="C72" s="35"/>
      <c r="D72" s="77"/>
      <c r="E72" s="2"/>
      <c r="F72" s="20"/>
      <c r="G72" s="2"/>
      <c r="H72" s="2"/>
      <c r="I72" s="2"/>
      <c r="J72" s="55"/>
      <c r="K72" s="2"/>
      <c r="L72" s="9"/>
      <c r="M72" s="59">
        <v>45971.0</v>
      </c>
      <c r="N72" s="60" t="s">
        <v>200</v>
      </c>
      <c r="O72" s="60" t="s">
        <v>70</v>
      </c>
      <c r="P72" s="60" t="s">
        <v>23</v>
      </c>
      <c r="Q72" s="62">
        <v>11.5</v>
      </c>
      <c r="R72" s="60" t="s">
        <v>17</v>
      </c>
      <c r="S72" s="3"/>
      <c r="T72" s="2"/>
      <c r="U72" s="2"/>
      <c r="V72" s="55"/>
      <c r="W72" s="55"/>
      <c r="X72" s="55"/>
      <c r="Y72" s="58"/>
      <c r="Z72" s="55"/>
      <c r="AA72" s="119"/>
      <c r="AB72" s="120"/>
      <c r="AC72" s="120"/>
      <c r="AD72" s="120"/>
    </row>
    <row r="73">
      <c r="A73" s="66"/>
      <c r="B73" s="24"/>
      <c r="C73" s="35"/>
      <c r="D73" s="77"/>
      <c r="E73" s="2"/>
      <c r="F73" s="20"/>
      <c r="G73" s="2"/>
      <c r="H73" s="2"/>
      <c r="I73" s="2"/>
      <c r="J73" s="55"/>
      <c r="K73" s="2"/>
      <c r="L73" s="9"/>
      <c r="M73" s="59">
        <v>45971.0</v>
      </c>
      <c r="N73" s="60" t="s">
        <v>209</v>
      </c>
      <c r="O73" s="60" t="s">
        <v>55</v>
      </c>
      <c r="P73" s="61">
        <v>45717.0</v>
      </c>
      <c r="Q73" s="62">
        <v>77.93</v>
      </c>
      <c r="R73" s="60" t="s">
        <v>17</v>
      </c>
      <c r="S73" s="3"/>
      <c r="T73" s="2"/>
      <c r="U73" s="2"/>
      <c r="V73" s="55"/>
      <c r="W73" s="55"/>
      <c r="X73" s="55"/>
      <c r="Y73" s="58"/>
      <c r="Z73" s="55"/>
      <c r="AA73" s="119"/>
      <c r="AB73" s="120"/>
      <c r="AC73" s="120"/>
      <c r="AD73" s="120"/>
    </row>
    <row r="74">
      <c r="A74" s="66"/>
      <c r="B74" s="24"/>
      <c r="C74" s="35"/>
      <c r="D74" s="77"/>
      <c r="E74" s="2"/>
      <c r="F74" s="20"/>
      <c r="G74" s="2"/>
      <c r="H74" s="2"/>
      <c r="I74" s="2"/>
      <c r="J74" s="55"/>
      <c r="K74" s="2"/>
      <c r="L74" s="9"/>
      <c r="M74" s="59">
        <v>45972.0</v>
      </c>
      <c r="N74" s="60" t="s">
        <v>210</v>
      </c>
      <c r="O74" s="60" t="s">
        <v>46</v>
      </c>
      <c r="P74" s="60" t="s">
        <v>23</v>
      </c>
      <c r="Q74" s="62">
        <v>139.86</v>
      </c>
      <c r="R74" s="60" t="s">
        <v>17</v>
      </c>
      <c r="S74" s="3"/>
      <c r="T74" s="2"/>
      <c r="U74" s="2"/>
      <c r="V74" s="55"/>
      <c r="W74" s="55"/>
      <c r="X74" s="55"/>
      <c r="Y74" s="58"/>
      <c r="Z74" s="55"/>
      <c r="AA74" s="119"/>
      <c r="AB74" s="120"/>
      <c r="AC74" s="120"/>
      <c r="AD74" s="120"/>
    </row>
    <row r="75">
      <c r="A75" s="66"/>
      <c r="B75" s="24"/>
      <c r="C75" s="35"/>
      <c r="D75" s="77"/>
      <c r="E75" s="2"/>
      <c r="F75" s="20"/>
      <c r="G75" s="2"/>
      <c r="H75" s="2"/>
      <c r="I75" s="2"/>
      <c r="J75" s="55"/>
      <c r="K75" s="2"/>
      <c r="L75" s="9"/>
      <c r="M75" s="59">
        <v>45972.0</v>
      </c>
      <c r="N75" s="60" t="s">
        <v>211</v>
      </c>
      <c r="O75" s="60" t="s">
        <v>55</v>
      </c>
      <c r="P75" s="61">
        <v>45717.0</v>
      </c>
      <c r="Q75" s="62">
        <v>151.09</v>
      </c>
      <c r="R75" s="60" t="s">
        <v>17</v>
      </c>
      <c r="S75" s="3"/>
      <c r="T75" s="2"/>
      <c r="U75" s="2"/>
      <c r="V75" s="55"/>
      <c r="W75" s="55"/>
      <c r="X75" s="55"/>
      <c r="Y75" s="58"/>
      <c r="Z75" s="55"/>
      <c r="AA75" s="119"/>
      <c r="AB75" s="120"/>
      <c r="AC75" s="120"/>
      <c r="AD75" s="120"/>
    </row>
    <row r="76">
      <c r="A76" s="66"/>
      <c r="B76" s="24"/>
      <c r="C76" s="35"/>
      <c r="D76" s="77"/>
      <c r="E76" s="2"/>
      <c r="F76" s="20"/>
      <c r="G76" s="2"/>
      <c r="H76" s="2"/>
      <c r="I76" s="2"/>
      <c r="J76" s="55"/>
      <c r="K76" s="2"/>
      <c r="L76" s="9"/>
      <c r="M76" s="59">
        <v>45972.0</v>
      </c>
      <c r="N76" s="60" t="s">
        <v>212</v>
      </c>
      <c r="O76" s="60" t="s">
        <v>70</v>
      </c>
      <c r="P76" s="60" t="s">
        <v>23</v>
      </c>
      <c r="Q76" s="62">
        <v>50.0</v>
      </c>
      <c r="R76" s="60" t="s">
        <v>17</v>
      </c>
      <c r="S76" s="3"/>
      <c r="T76" s="2"/>
      <c r="U76" s="2"/>
      <c r="V76" s="55"/>
      <c r="W76" s="55"/>
      <c r="X76" s="55"/>
      <c r="Y76" s="58"/>
      <c r="Z76" s="55"/>
      <c r="AA76" s="119"/>
      <c r="AB76" s="120"/>
      <c r="AC76" s="120"/>
      <c r="AD76" s="120"/>
    </row>
    <row r="77">
      <c r="A77" s="66"/>
      <c r="B77" s="24"/>
      <c r="C77" s="35"/>
      <c r="D77" s="77"/>
      <c r="E77" s="2"/>
      <c r="F77" s="20"/>
      <c r="G77" s="2"/>
      <c r="H77" s="2"/>
      <c r="I77" s="2"/>
      <c r="J77" s="55"/>
      <c r="K77" s="2"/>
      <c r="L77" s="9"/>
      <c r="M77" s="59">
        <v>45973.0</v>
      </c>
      <c r="N77" s="60" t="s">
        <v>213</v>
      </c>
      <c r="O77" s="60" t="s">
        <v>70</v>
      </c>
      <c r="P77" s="60" t="s">
        <v>23</v>
      </c>
      <c r="Q77" s="62">
        <v>11.2</v>
      </c>
      <c r="R77" s="60" t="s">
        <v>17</v>
      </c>
      <c r="S77" s="3"/>
      <c r="T77" s="2"/>
      <c r="U77" s="2"/>
      <c r="V77" s="55"/>
      <c r="W77" s="55"/>
      <c r="X77" s="55"/>
      <c r="Y77" s="58"/>
      <c r="Z77" s="55"/>
      <c r="AA77" s="119"/>
      <c r="AB77" s="120"/>
      <c r="AC77" s="120"/>
      <c r="AD77" s="120"/>
    </row>
    <row r="78">
      <c r="A78" s="66"/>
      <c r="B78" s="24"/>
      <c r="C78" s="35"/>
      <c r="D78" s="77"/>
      <c r="E78" s="2"/>
      <c r="F78" s="20"/>
      <c r="G78" s="2"/>
      <c r="H78" s="2"/>
      <c r="I78" s="2"/>
      <c r="J78" s="55"/>
      <c r="K78" s="2"/>
      <c r="L78" s="9"/>
      <c r="M78" s="40">
        <v>45975.0</v>
      </c>
      <c r="N78" s="37" t="s">
        <v>214</v>
      </c>
      <c r="O78" s="37" t="s">
        <v>81</v>
      </c>
      <c r="P78" s="38" t="s">
        <v>23</v>
      </c>
      <c r="Q78" s="38">
        <v>30.0</v>
      </c>
      <c r="R78" s="37" t="s">
        <v>17</v>
      </c>
      <c r="S78" s="3"/>
      <c r="T78" s="2"/>
      <c r="U78" s="2"/>
      <c r="V78" s="55"/>
      <c r="W78" s="55"/>
      <c r="X78" s="55"/>
      <c r="Y78" s="58"/>
      <c r="Z78" s="55"/>
      <c r="AA78" s="119"/>
      <c r="AB78" s="120"/>
      <c r="AC78" s="120"/>
      <c r="AD78" s="120"/>
    </row>
    <row r="79">
      <c r="A79" s="66"/>
      <c r="B79" s="24"/>
      <c r="C79" s="35"/>
      <c r="D79" s="77"/>
      <c r="E79" s="2"/>
      <c r="F79" s="20"/>
      <c r="G79" s="2"/>
      <c r="H79" s="2"/>
      <c r="I79" s="2"/>
      <c r="J79" s="55"/>
      <c r="K79" s="2"/>
      <c r="L79" s="9"/>
      <c r="M79" s="40">
        <v>45975.0</v>
      </c>
      <c r="N79" s="37" t="s">
        <v>215</v>
      </c>
      <c r="O79" s="37" t="s">
        <v>70</v>
      </c>
      <c r="P79" s="38" t="s">
        <v>23</v>
      </c>
      <c r="Q79" s="38">
        <v>15.35</v>
      </c>
      <c r="R79" s="37" t="s">
        <v>17</v>
      </c>
      <c r="S79" s="3"/>
      <c r="T79" s="2"/>
      <c r="U79" s="2"/>
      <c r="V79" s="55"/>
      <c r="W79" s="55"/>
      <c r="X79" s="55"/>
      <c r="Y79" s="58"/>
      <c r="Z79" s="55"/>
      <c r="AA79" s="119"/>
      <c r="AB79" s="120"/>
      <c r="AC79" s="120"/>
      <c r="AD79" s="120"/>
    </row>
    <row r="80">
      <c r="A80" s="66"/>
      <c r="B80" s="24"/>
      <c r="C80" s="35"/>
      <c r="D80" s="77"/>
      <c r="E80" s="2"/>
      <c r="F80" s="20"/>
      <c r="G80" s="2"/>
      <c r="H80" s="2"/>
      <c r="I80" s="2"/>
      <c r="J80" s="55"/>
      <c r="K80" s="2"/>
      <c r="L80" s="9"/>
      <c r="M80" s="59">
        <v>45975.0</v>
      </c>
      <c r="N80" s="60" t="s">
        <v>216</v>
      </c>
      <c r="O80" s="60" t="s">
        <v>70</v>
      </c>
      <c r="P80" s="60" t="s">
        <v>23</v>
      </c>
      <c r="Q80" s="62">
        <v>12.3</v>
      </c>
      <c r="R80" s="60" t="s">
        <v>17</v>
      </c>
      <c r="S80" s="3"/>
      <c r="T80" s="2"/>
      <c r="U80" s="2"/>
      <c r="V80" s="55"/>
      <c r="W80" s="55"/>
      <c r="X80" s="55"/>
      <c r="Y80" s="58"/>
      <c r="Z80" s="55"/>
      <c r="AA80" s="119"/>
      <c r="AB80" s="120"/>
      <c r="AC80" s="120"/>
      <c r="AD80" s="120"/>
    </row>
    <row r="81">
      <c r="A81" s="66"/>
      <c r="B81" s="24"/>
      <c r="C81" s="35"/>
      <c r="D81" s="77"/>
      <c r="E81" s="2"/>
      <c r="F81" s="20"/>
      <c r="G81" s="2"/>
      <c r="H81" s="2"/>
      <c r="I81" s="2"/>
      <c r="J81" s="55"/>
      <c r="K81" s="2"/>
      <c r="L81" s="9"/>
      <c r="M81" s="59">
        <v>45975.0</v>
      </c>
      <c r="N81" s="60" t="s">
        <v>217</v>
      </c>
      <c r="O81" s="60" t="s">
        <v>70</v>
      </c>
      <c r="P81" s="60" t="s">
        <v>23</v>
      </c>
      <c r="Q81" s="62">
        <v>13.0</v>
      </c>
      <c r="R81" s="60" t="s">
        <v>17</v>
      </c>
      <c r="S81" s="3"/>
      <c r="T81" s="2"/>
      <c r="U81" s="2"/>
      <c r="V81" s="55"/>
      <c r="W81" s="55"/>
      <c r="X81" s="55"/>
      <c r="Y81" s="58"/>
      <c r="Z81" s="55"/>
      <c r="AA81" s="119"/>
      <c r="AB81" s="120"/>
      <c r="AC81" s="120"/>
      <c r="AD81" s="120"/>
    </row>
    <row r="82">
      <c r="A82" s="66"/>
      <c r="B82" s="24"/>
      <c r="C82" s="35"/>
      <c r="D82" s="77"/>
      <c r="E82" s="2"/>
      <c r="F82" s="20"/>
      <c r="G82" s="2"/>
      <c r="H82" s="2"/>
      <c r="I82" s="2"/>
      <c r="J82" s="55"/>
      <c r="K82" s="2"/>
      <c r="L82" s="9"/>
      <c r="M82" s="59">
        <v>45976.0</v>
      </c>
      <c r="N82" s="60" t="s">
        <v>218</v>
      </c>
      <c r="O82" s="60" t="s">
        <v>70</v>
      </c>
      <c r="P82" s="60" t="s">
        <v>23</v>
      </c>
      <c r="Q82" s="62">
        <v>31.17</v>
      </c>
      <c r="R82" s="60" t="s">
        <v>17</v>
      </c>
      <c r="S82" s="3"/>
      <c r="T82" s="2"/>
      <c r="U82" s="2"/>
      <c r="V82" s="55"/>
      <c r="W82" s="55"/>
      <c r="X82" s="55"/>
      <c r="Y82" s="58"/>
      <c r="Z82" s="55"/>
      <c r="AA82" s="119"/>
      <c r="AB82" s="120"/>
      <c r="AC82" s="120"/>
      <c r="AD82" s="120"/>
    </row>
    <row r="83">
      <c r="A83" s="66"/>
      <c r="B83" s="24"/>
      <c r="C83" s="35"/>
      <c r="D83" s="77"/>
      <c r="E83" s="2"/>
      <c r="F83" s="20"/>
      <c r="G83" s="2"/>
      <c r="H83" s="2"/>
      <c r="I83" s="2"/>
      <c r="J83" s="55"/>
      <c r="K83" s="2"/>
      <c r="L83" s="9"/>
      <c r="M83" s="59">
        <v>45977.0</v>
      </c>
      <c r="N83" s="60" t="s">
        <v>219</v>
      </c>
      <c r="O83" s="60" t="s">
        <v>70</v>
      </c>
      <c r="P83" s="60" t="s">
        <v>23</v>
      </c>
      <c r="Q83" s="62">
        <v>23.45</v>
      </c>
      <c r="R83" s="60" t="s">
        <v>17</v>
      </c>
      <c r="S83" s="3"/>
      <c r="T83" s="2"/>
      <c r="U83" s="2"/>
      <c r="V83" s="55"/>
      <c r="W83" s="55"/>
      <c r="X83" s="55"/>
      <c r="Y83" s="58"/>
      <c r="Z83" s="55"/>
      <c r="AA83" s="119"/>
      <c r="AB83" s="120"/>
      <c r="AC83" s="120"/>
      <c r="AD83" s="120"/>
    </row>
    <row r="84">
      <c r="A84" s="66"/>
      <c r="B84" s="24"/>
      <c r="C84" s="35"/>
      <c r="D84" s="77"/>
      <c r="E84" s="2"/>
      <c r="F84" s="20"/>
      <c r="G84" s="2"/>
      <c r="H84" s="2"/>
      <c r="I84" s="2"/>
      <c r="J84" s="55"/>
      <c r="K84" s="2"/>
      <c r="L84" s="9"/>
      <c r="M84" s="59">
        <v>45978.0</v>
      </c>
      <c r="N84" s="60" t="s">
        <v>220</v>
      </c>
      <c r="O84" s="60" t="s">
        <v>70</v>
      </c>
      <c r="P84" s="60" t="s">
        <v>23</v>
      </c>
      <c r="Q84" s="62">
        <v>27.95</v>
      </c>
      <c r="R84" s="60" t="s">
        <v>17</v>
      </c>
      <c r="S84" s="3"/>
      <c r="T84" s="2"/>
      <c r="U84" s="2"/>
      <c r="V84" s="55"/>
      <c r="W84" s="55"/>
      <c r="X84" s="55"/>
      <c r="Y84" s="58"/>
      <c r="Z84" s="55"/>
      <c r="AA84" s="119"/>
      <c r="AB84" s="120"/>
      <c r="AC84" s="120"/>
      <c r="AD84" s="120"/>
    </row>
    <row r="85">
      <c r="A85" s="66"/>
      <c r="B85" s="24"/>
      <c r="C85" s="35"/>
      <c r="D85" s="77"/>
      <c r="E85" s="2"/>
      <c r="F85" s="20"/>
      <c r="G85" s="2"/>
      <c r="H85" s="2"/>
      <c r="I85" s="2"/>
      <c r="J85" s="55"/>
      <c r="K85" s="2"/>
      <c r="L85" s="9"/>
      <c r="M85" s="59">
        <v>45978.0</v>
      </c>
      <c r="N85" s="60" t="s">
        <v>221</v>
      </c>
      <c r="O85" s="60" t="s">
        <v>70</v>
      </c>
      <c r="P85" s="60" t="s">
        <v>23</v>
      </c>
      <c r="Q85" s="62">
        <v>9.94</v>
      </c>
      <c r="R85" s="60" t="s">
        <v>17</v>
      </c>
      <c r="S85" s="3"/>
      <c r="T85" s="2"/>
      <c r="U85" s="2"/>
      <c r="V85" s="55"/>
      <c r="W85" s="55"/>
      <c r="X85" s="55"/>
      <c r="Y85" s="58"/>
      <c r="Z85" s="55"/>
      <c r="AA85" s="119"/>
      <c r="AB85" s="120"/>
      <c r="AC85" s="120"/>
      <c r="AD85" s="120"/>
    </row>
    <row r="86">
      <c r="A86" s="66"/>
      <c r="B86" s="24"/>
      <c r="C86" s="35"/>
      <c r="D86" s="77"/>
      <c r="E86" s="2"/>
      <c r="F86" s="20"/>
      <c r="G86" s="2"/>
      <c r="H86" s="2"/>
      <c r="I86" s="2"/>
      <c r="J86" s="55"/>
      <c r="K86" s="2"/>
      <c r="L86" s="9"/>
      <c r="M86" s="59">
        <v>45978.0</v>
      </c>
      <c r="N86" s="60" t="s">
        <v>222</v>
      </c>
      <c r="O86" s="60" t="s">
        <v>70</v>
      </c>
      <c r="P86" s="60" t="s">
        <v>23</v>
      </c>
      <c r="Q86" s="62">
        <v>33.05</v>
      </c>
      <c r="R86" s="60" t="s">
        <v>17</v>
      </c>
      <c r="S86" s="3"/>
      <c r="T86" s="2"/>
      <c r="U86" s="2"/>
      <c r="V86" s="55"/>
      <c r="W86" s="55"/>
      <c r="X86" s="55"/>
      <c r="Y86" s="58"/>
      <c r="Z86" s="55"/>
      <c r="AA86" s="119"/>
      <c r="AB86" s="120"/>
      <c r="AC86" s="120"/>
      <c r="AD86" s="120"/>
    </row>
    <row r="87">
      <c r="A87" s="66"/>
      <c r="B87" s="24"/>
      <c r="C87" s="35"/>
      <c r="D87" s="77"/>
      <c r="E87" s="2"/>
      <c r="F87" s="20"/>
      <c r="G87" s="2"/>
      <c r="H87" s="2"/>
      <c r="I87" s="2"/>
      <c r="J87" s="55"/>
      <c r="K87" s="2"/>
      <c r="L87" s="9"/>
      <c r="M87" s="59">
        <v>45978.0</v>
      </c>
      <c r="N87" s="60" t="s">
        <v>223</v>
      </c>
      <c r="O87" s="60" t="s">
        <v>27</v>
      </c>
      <c r="P87" s="61">
        <v>45689.0</v>
      </c>
      <c r="Q87" s="62">
        <v>118.41</v>
      </c>
      <c r="R87" s="60" t="s">
        <v>17</v>
      </c>
      <c r="S87" s="3"/>
      <c r="T87" s="2"/>
      <c r="U87" s="2"/>
      <c r="V87" s="55"/>
      <c r="W87" s="55"/>
      <c r="X87" s="55"/>
      <c r="Y87" s="58"/>
      <c r="Z87" s="55"/>
      <c r="AA87" s="119"/>
      <c r="AB87" s="120"/>
      <c r="AC87" s="120"/>
      <c r="AD87" s="120"/>
    </row>
    <row r="88">
      <c r="A88" s="66"/>
      <c r="B88" s="24"/>
      <c r="C88" s="35"/>
      <c r="D88" s="77"/>
      <c r="E88" s="2"/>
      <c r="F88" s="20"/>
      <c r="G88" s="2"/>
      <c r="H88" s="2"/>
      <c r="I88" s="2"/>
      <c r="J88" s="55"/>
      <c r="K88" s="2"/>
      <c r="L88" s="9"/>
      <c r="M88" s="59">
        <v>45978.0</v>
      </c>
      <c r="N88" s="60" t="s">
        <v>208</v>
      </c>
      <c r="O88" s="60" t="s">
        <v>81</v>
      </c>
      <c r="P88" s="60" t="s">
        <v>23</v>
      </c>
      <c r="Q88" s="62">
        <v>58.82</v>
      </c>
      <c r="R88" s="60" t="s">
        <v>17</v>
      </c>
      <c r="S88" s="3"/>
      <c r="T88" s="2"/>
      <c r="U88" s="2"/>
      <c r="V88" s="55"/>
      <c r="W88" s="55"/>
      <c r="X88" s="55"/>
      <c r="Y88" s="58"/>
      <c r="Z88" s="55"/>
      <c r="AA88" s="119"/>
      <c r="AB88" s="120"/>
      <c r="AC88" s="120"/>
      <c r="AD88" s="120"/>
    </row>
    <row r="89">
      <c r="A89" s="66"/>
      <c r="B89" s="24"/>
      <c r="C89" s="35"/>
      <c r="D89" s="77"/>
      <c r="E89" s="2"/>
      <c r="F89" s="20"/>
      <c r="G89" s="2"/>
      <c r="H89" s="2"/>
      <c r="I89" s="2"/>
      <c r="J89" s="55"/>
      <c r="K89" s="2"/>
      <c r="L89" s="9"/>
      <c r="M89" s="59">
        <v>45979.0</v>
      </c>
      <c r="N89" s="60" t="s">
        <v>224</v>
      </c>
      <c r="O89" s="60" t="s">
        <v>133</v>
      </c>
      <c r="P89" s="60" t="s">
        <v>23</v>
      </c>
      <c r="Q89" s="62">
        <v>211.5</v>
      </c>
      <c r="R89" s="60" t="s">
        <v>38</v>
      </c>
      <c r="S89" s="3"/>
      <c r="T89" s="2"/>
      <c r="U89" s="2"/>
      <c r="V89" s="55"/>
      <c r="W89" s="55"/>
      <c r="X89" s="55"/>
      <c r="Y89" s="58"/>
      <c r="Z89" s="55"/>
      <c r="AA89" s="119"/>
      <c r="AB89" s="120"/>
      <c r="AC89" s="120"/>
      <c r="AD89" s="120"/>
    </row>
    <row r="90">
      <c r="A90" s="66"/>
      <c r="B90" s="24"/>
      <c r="C90" s="35"/>
      <c r="D90" s="77"/>
      <c r="E90" s="2"/>
      <c r="F90" s="20"/>
      <c r="G90" s="2"/>
      <c r="H90" s="2"/>
      <c r="I90" s="2"/>
      <c r="J90" s="55"/>
      <c r="K90" s="2"/>
      <c r="L90" s="9"/>
      <c r="M90" s="59">
        <v>45980.0</v>
      </c>
      <c r="N90" s="60" t="s">
        <v>225</v>
      </c>
      <c r="O90" s="60" t="s">
        <v>66</v>
      </c>
      <c r="P90" s="60" t="s">
        <v>23</v>
      </c>
      <c r="Q90" s="62">
        <v>46.5</v>
      </c>
      <c r="R90" s="60" t="s">
        <v>38</v>
      </c>
      <c r="S90" s="3"/>
      <c r="T90" s="2"/>
      <c r="U90" s="2"/>
      <c r="V90" s="55"/>
      <c r="W90" s="55"/>
      <c r="X90" s="55"/>
      <c r="Y90" s="58"/>
      <c r="Z90" s="55"/>
      <c r="AA90" s="119"/>
      <c r="AB90" s="120"/>
      <c r="AC90" s="120"/>
      <c r="AD90" s="120"/>
    </row>
    <row r="91">
      <c r="A91" s="66"/>
      <c r="B91" s="24"/>
      <c r="C91" s="35"/>
      <c r="D91" s="77"/>
      <c r="E91" s="2"/>
      <c r="F91" s="20"/>
      <c r="G91" s="2"/>
      <c r="H91" s="2"/>
      <c r="I91" s="2"/>
      <c r="J91" s="55"/>
      <c r="K91" s="2"/>
      <c r="L91" s="9"/>
      <c r="M91" s="59">
        <v>45979.0</v>
      </c>
      <c r="N91" s="60" t="s">
        <v>226</v>
      </c>
      <c r="O91" s="60" t="s">
        <v>70</v>
      </c>
      <c r="P91" s="60" t="s">
        <v>23</v>
      </c>
      <c r="Q91" s="62">
        <v>17.85</v>
      </c>
      <c r="R91" s="60" t="s">
        <v>17</v>
      </c>
      <c r="S91" s="3"/>
      <c r="T91" s="2"/>
      <c r="U91" s="2"/>
      <c r="V91" s="55"/>
      <c r="W91" s="55"/>
      <c r="X91" s="55"/>
      <c r="Y91" s="58"/>
      <c r="Z91" s="55"/>
      <c r="AA91" s="119"/>
      <c r="AB91" s="120"/>
      <c r="AC91" s="120"/>
      <c r="AD91" s="120"/>
    </row>
    <row r="92">
      <c r="A92" s="66"/>
      <c r="B92" s="24"/>
      <c r="C92" s="35"/>
      <c r="D92" s="77"/>
      <c r="E92" s="2"/>
      <c r="F92" s="20"/>
      <c r="G92" s="2"/>
      <c r="H92" s="2"/>
      <c r="I92" s="2"/>
      <c r="J92" s="55"/>
      <c r="K92" s="2"/>
      <c r="L92" s="9"/>
      <c r="M92" s="59">
        <v>45986.0</v>
      </c>
      <c r="N92" s="60" t="s">
        <v>227</v>
      </c>
      <c r="O92" s="60" t="s">
        <v>133</v>
      </c>
      <c r="P92" s="60" t="s">
        <v>23</v>
      </c>
      <c r="Q92" s="62">
        <v>320.0</v>
      </c>
      <c r="R92" s="60" t="s">
        <v>38</v>
      </c>
      <c r="S92" s="3"/>
      <c r="T92" s="2"/>
      <c r="U92" s="2"/>
      <c r="V92" s="55"/>
      <c r="W92" s="55"/>
      <c r="X92" s="55"/>
      <c r="Y92" s="58"/>
      <c r="Z92" s="55"/>
      <c r="AA92" s="119"/>
      <c r="AB92" s="120"/>
      <c r="AC92" s="120"/>
      <c r="AD92" s="120"/>
    </row>
    <row r="93">
      <c r="A93" s="66"/>
      <c r="B93" s="24"/>
      <c r="C93" s="2"/>
      <c r="D93" s="2"/>
      <c r="E93" s="2"/>
      <c r="F93" s="20"/>
      <c r="G93" s="2"/>
      <c r="H93" s="2"/>
      <c r="I93" s="2"/>
      <c r="J93" s="55"/>
      <c r="K93" s="2"/>
      <c r="L93" s="9"/>
      <c r="M93" s="59">
        <v>45989.0</v>
      </c>
      <c r="N93" s="60" t="s">
        <v>228</v>
      </c>
      <c r="O93" s="60" t="s">
        <v>229</v>
      </c>
      <c r="P93" s="60" t="s">
        <v>23</v>
      </c>
      <c r="Q93" s="62">
        <v>861.56</v>
      </c>
      <c r="R93" s="60" t="s">
        <v>38</v>
      </c>
      <c r="S93" s="3"/>
      <c r="T93" s="2"/>
      <c r="U93" s="2"/>
      <c r="V93" s="55"/>
      <c r="W93" s="55"/>
      <c r="X93" s="55"/>
      <c r="Y93" s="58"/>
      <c r="Z93" s="55"/>
      <c r="AA93" s="119"/>
      <c r="AB93" s="120"/>
      <c r="AC93" s="120"/>
      <c r="AD93" s="120"/>
    </row>
    <row r="94">
      <c r="A94" s="66"/>
      <c r="B94" s="24"/>
      <c r="C94" s="2"/>
      <c r="D94" s="2"/>
      <c r="E94" s="2"/>
      <c r="F94" s="20"/>
      <c r="G94" s="2"/>
      <c r="H94" s="2"/>
      <c r="I94" s="2"/>
      <c r="J94" s="55"/>
      <c r="K94" s="2"/>
      <c r="L94" s="9"/>
      <c r="M94" s="59"/>
      <c r="N94" s="60" t="s">
        <v>230</v>
      </c>
      <c r="O94" s="60"/>
      <c r="P94" s="60" t="s">
        <v>23</v>
      </c>
      <c r="Q94" s="62">
        <v>118.68</v>
      </c>
      <c r="R94" s="60" t="s">
        <v>17</v>
      </c>
      <c r="S94" s="3"/>
      <c r="T94" s="2"/>
      <c r="U94" s="2"/>
      <c r="V94" s="55"/>
      <c r="W94" s="55"/>
      <c r="X94" s="55"/>
      <c r="Y94" s="58"/>
      <c r="Z94" s="55"/>
      <c r="AA94" s="119"/>
      <c r="AB94" s="120"/>
      <c r="AC94" s="120"/>
      <c r="AD94" s="120"/>
    </row>
    <row r="95">
      <c r="A95" s="66"/>
      <c r="B95" s="24"/>
      <c r="C95" s="2"/>
      <c r="D95" s="2"/>
      <c r="E95" s="2"/>
      <c r="F95" s="20"/>
      <c r="G95" s="2"/>
      <c r="H95" s="2"/>
      <c r="I95" s="2"/>
      <c r="J95" s="55"/>
      <c r="K95" s="2"/>
      <c r="L95" s="131"/>
      <c r="M95" s="132"/>
      <c r="N95" s="133" t="s">
        <v>47</v>
      </c>
      <c r="O95" s="134"/>
      <c r="P95" s="135"/>
      <c r="Q95" s="135">
        <f>SUM(Q9:Q94)</f>
        <v>5540.76</v>
      </c>
      <c r="R95" s="134"/>
      <c r="S95" s="3"/>
      <c r="T95" s="2"/>
      <c r="U95" s="2"/>
      <c r="V95" s="55"/>
      <c r="W95" s="55"/>
      <c r="X95" s="55"/>
      <c r="Y95" s="58"/>
      <c r="Z95" s="55"/>
      <c r="AA95" s="119"/>
      <c r="AB95" s="120"/>
      <c r="AC95" s="120"/>
      <c r="AD95" s="120"/>
    </row>
    <row r="96">
      <c r="A96" s="66"/>
      <c r="B96" s="24"/>
      <c r="C96" s="2"/>
      <c r="D96" s="2"/>
      <c r="E96" s="2"/>
      <c r="F96" s="20"/>
      <c r="G96" s="2"/>
      <c r="H96" s="2"/>
      <c r="I96" s="2"/>
      <c r="J96" s="55"/>
      <c r="K96" s="2"/>
      <c r="L96" s="15"/>
      <c r="M96" s="136"/>
      <c r="N96" s="137"/>
      <c r="O96" s="137"/>
      <c r="P96" s="138"/>
      <c r="Q96" s="139"/>
      <c r="R96" s="137"/>
      <c r="S96" s="3"/>
      <c r="T96" s="2"/>
      <c r="U96" s="2"/>
      <c r="V96" s="55"/>
      <c r="W96" s="55"/>
      <c r="X96" s="55"/>
      <c r="Y96" s="58"/>
      <c r="Z96" s="55"/>
      <c r="AA96" s="119"/>
      <c r="AB96" s="120"/>
      <c r="AC96" s="120"/>
      <c r="AD96" s="120"/>
    </row>
    <row r="97">
      <c r="A97" s="2"/>
      <c r="B97" s="2"/>
      <c r="C97" s="2"/>
      <c r="D97" s="2"/>
      <c r="E97" s="2"/>
      <c r="F97" s="4"/>
      <c r="G97" s="78"/>
      <c r="H97" s="78"/>
      <c r="I97" s="78"/>
      <c r="J97" s="78"/>
      <c r="K97" s="78"/>
      <c r="L97" s="24"/>
      <c r="M97" s="78"/>
      <c r="N97" s="78"/>
      <c r="O97" s="78"/>
      <c r="P97" s="78"/>
      <c r="Q97" s="78"/>
      <c r="R97" s="78"/>
      <c r="S97" s="140"/>
      <c r="T97" s="78"/>
      <c r="U97" s="78"/>
      <c r="V97" s="78"/>
      <c r="W97" s="78"/>
      <c r="X97" s="78"/>
      <c r="Y97" s="78"/>
      <c r="Z97" s="78"/>
      <c r="AA97" s="119"/>
      <c r="AB97" s="120"/>
      <c r="AC97" s="120"/>
      <c r="AD97" s="120"/>
    </row>
    <row r="98">
      <c r="A98" s="2"/>
      <c r="B98" s="2"/>
      <c r="C98" s="15"/>
      <c r="D98" s="15"/>
      <c r="E98" s="2"/>
      <c r="F98" s="2"/>
      <c r="G98" s="15"/>
      <c r="H98" s="15"/>
      <c r="I98" s="15"/>
      <c r="J98" s="15"/>
      <c r="K98" s="15"/>
      <c r="L98" s="2"/>
      <c r="M98" s="2"/>
      <c r="N98" s="2"/>
      <c r="O98" s="2"/>
      <c r="P98" s="2"/>
      <c r="Q98" s="2"/>
      <c r="R98" s="2"/>
      <c r="S98" s="15"/>
      <c r="T98" s="2"/>
      <c r="U98" s="2"/>
      <c r="V98" s="2"/>
      <c r="W98" s="15"/>
      <c r="X98" s="15"/>
      <c r="Y98" s="15"/>
      <c r="Z98" s="15"/>
      <c r="AA98" s="105"/>
      <c r="AB98" s="105"/>
      <c r="AC98" s="105"/>
      <c r="AD98" s="105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105"/>
      <c r="AB99" s="105"/>
      <c r="AC99" s="105"/>
      <c r="AD99" s="105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105"/>
      <c r="AB100" s="105"/>
      <c r="AC100" s="105"/>
      <c r="AD100" s="105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105"/>
      <c r="AB101" s="105"/>
      <c r="AC101" s="105"/>
      <c r="AD101" s="105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105"/>
      <c r="AB102" s="105"/>
      <c r="AC102" s="105"/>
      <c r="AD102" s="105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105"/>
      <c r="AB103" s="105"/>
      <c r="AC103" s="105"/>
      <c r="AD103" s="105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105"/>
      <c r="AB104" s="105"/>
      <c r="AC104" s="105"/>
      <c r="AD104" s="105"/>
    </row>
    <row r="105">
      <c r="A105" s="2"/>
      <c r="B105" s="2"/>
      <c r="C105" s="78"/>
      <c r="D105" s="78"/>
      <c r="E105" s="78"/>
      <c r="F105" s="2"/>
      <c r="G105" s="2"/>
      <c r="H105" s="2"/>
      <c r="I105" s="2"/>
      <c r="J105" s="2"/>
      <c r="K105" s="2"/>
      <c r="L105" s="2"/>
      <c r="M105" s="93" t="s">
        <v>150</v>
      </c>
      <c r="N105" s="17"/>
      <c r="O105" s="17"/>
      <c r="P105" s="17"/>
      <c r="Q105" s="17"/>
      <c r="R105" s="18"/>
      <c r="S105" s="2"/>
      <c r="T105" s="2"/>
      <c r="U105" s="2"/>
      <c r="V105" s="2"/>
      <c r="W105" s="2"/>
      <c r="X105" s="2"/>
      <c r="Y105" s="2"/>
      <c r="Z105" s="2"/>
      <c r="AA105" s="105"/>
      <c r="AB105" s="105"/>
      <c r="AC105" s="105"/>
      <c r="AD105" s="105"/>
    </row>
    <row r="106">
      <c r="A106" s="2"/>
      <c r="B106" s="2"/>
      <c r="C106" s="78"/>
      <c r="D106" s="78"/>
      <c r="E106" s="78"/>
      <c r="F106" s="2"/>
      <c r="G106" s="2"/>
      <c r="H106" s="2"/>
      <c r="I106" s="2"/>
      <c r="J106" s="2"/>
      <c r="K106" s="2"/>
      <c r="L106" s="2"/>
      <c r="M106" s="94" t="s">
        <v>5</v>
      </c>
      <c r="N106" s="94" t="s">
        <v>6</v>
      </c>
      <c r="O106" s="94" t="s">
        <v>9</v>
      </c>
      <c r="P106" s="95" t="s">
        <v>10</v>
      </c>
      <c r="Q106" s="95" t="s">
        <v>7</v>
      </c>
      <c r="R106" s="94" t="s">
        <v>8</v>
      </c>
      <c r="S106" s="2"/>
      <c r="T106" s="2"/>
      <c r="U106" s="2"/>
      <c r="V106" s="2"/>
      <c r="W106" s="2"/>
      <c r="X106" s="2"/>
      <c r="Y106" s="2"/>
      <c r="Z106" s="2"/>
      <c r="AA106" s="105"/>
      <c r="AB106" s="105"/>
      <c r="AC106" s="105"/>
      <c r="AD106" s="105"/>
    </row>
    <row r="107">
      <c r="A107" s="2"/>
      <c r="B107" s="2"/>
      <c r="C107" s="78"/>
      <c r="D107" s="78"/>
      <c r="E107" s="78"/>
      <c r="F107" s="2"/>
      <c r="G107" s="2"/>
      <c r="H107" s="2"/>
      <c r="I107" s="2"/>
      <c r="J107" s="2"/>
      <c r="K107" s="2"/>
      <c r="L107" s="2"/>
      <c r="M107" s="40">
        <v>45751.0</v>
      </c>
      <c r="N107" s="37" t="s">
        <v>20</v>
      </c>
      <c r="O107" s="37" t="s">
        <v>16</v>
      </c>
      <c r="P107" s="36" t="s">
        <v>153</v>
      </c>
      <c r="Q107" s="38">
        <v>99.99</v>
      </c>
      <c r="R107" s="37" t="s">
        <v>21</v>
      </c>
      <c r="S107" s="2"/>
      <c r="T107" s="2"/>
      <c r="U107" s="2"/>
      <c r="V107" s="2"/>
      <c r="W107" s="2"/>
      <c r="X107" s="2"/>
      <c r="Y107" s="2"/>
      <c r="Z107" s="2"/>
      <c r="AA107" s="105"/>
      <c r="AB107" s="105"/>
      <c r="AC107" s="105"/>
      <c r="AD107" s="105"/>
    </row>
    <row r="108">
      <c r="A108" s="2"/>
      <c r="B108" s="2"/>
      <c r="C108" s="78"/>
      <c r="D108" s="78"/>
      <c r="E108" s="78"/>
      <c r="F108" s="2"/>
      <c r="G108" s="2"/>
      <c r="H108" s="2"/>
      <c r="I108" s="2"/>
      <c r="J108" s="2"/>
      <c r="K108" s="2"/>
      <c r="L108" s="2"/>
      <c r="M108" s="40">
        <v>45891.0</v>
      </c>
      <c r="N108" s="37" t="s">
        <v>39</v>
      </c>
      <c r="O108" s="37" t="s">
        <v>19</v>
      </c>
      <c r="P108" s="36" t="s">
        <v>155</v>
      </c>
      <c r="Q108" s="38">
        <v>390.22</v>
      </c>
      <c r="R108" s="37" t="s">
        <v>17</v>
      </c>
      <c r="S108" s="2"/>
      <c r="T108" s="2"/>
      <c r="U108" s="2"/>
      <c r="V108" s="2"/>
      <c r="W108" s="2"/>
      <c r="X108" s="2"/>
      <c r="Y108" s="2"/>
      <c r="Z108" s="2"/>
      <c r="AA108" s="105"/>
      <c r="AB108" s="105"/>
      <c r="AC108" s="105"/>
      <c r="AD108" s="105"/>
    </row>
    <row r="109">
      <c r="A109" s="2"/>
      <c r="B109" s="2"/>
      <c r="C109" s="78"/>
      <c r="D109" s="78"/>
      <c r="E109" s="78"/>
      <c r="F109" s="2"/>
      <c r="G109" s="2"/>
      <c r="H109" s="2"/>
      <c r="I109" s="2"/>
      <c r="J109" s="2"/>
      <c r="K109" s="2"/>
      <c r="L109" s="2"/>
      <c r="M109" s="40">
        <v>45905.0</v>
      </c>
      <c r="N109" s="37" t="s">
        <v>51</v>
      </c>
      <c r="O109" s="37" t="s">
        <v>16</v>
      </c>
      <c r="P109" s="36" t="s">
        <v>156</v>
      </c>
      <c r="Q109" s="38">
        <v>100.07</v>
      </c>
      <c r="R109" s="37" t="s">
        <v>17</v>
      </c>
      <c r="S109" s="2"/>
      <c r="T109" s="2"/>
      <c r="U109" s="2"/>
      <c r="V109" s="2"/>
      <c r="W109" s="2"/>
      <c r="X109" s="2"/>
      <c r="Y109" s="2"/>
      <c r="Z109" s="2"/>
      <c r="AA109" s="105"/>
      <c r="AB109" s="105"/>
      <c r="AC109" s="105"/>
      <c r="AD109" s="105"/>
    </row>
    <row r="110">
      <c r="A110" s="2"/>
      <c r="B110" s="2"/>
      <c r="C110" s="78"/>
      <c r="D110" s="78"/>
      <c r="E110" s="78"/>
      <c r="F110" s="2"/>
      <c r="G110" s="2"/>
      <c r="H110" s="2"/>
      <c r="I110" s="2"/>
      <c r="J110" s="2"/>
      <c r="K110" s="2"/>
      <c r="L110" s="2"/>
      <c r="M110" s="40">
        <v>45905.0</v>
      </c>
      <c r="N110" s="37" t="s">
        <v>54</v>
      </c>
      <c r="O110" s="37" t="s">
        <v>55</v>
      </c>
      <c r="P110" s="36" t="s">
        <v>155</v>
      </c>
      <c r="Q110" s="38">
        <v>113.32</v>
      </c>
      <c r="R110" s="37" t="s">
        <v>17</v>
      </c>
      <c r="S110" s="2"/>
      <c r="T110" s="2"/>
      <c r="U110" s="2"/>
      <c r="V110" s="2"/>
      <c r="W110" s="2"/>
      <c r="X110" s="2"/>
      <c r="Y110" s="2"/>
      <c r="Z110" s="2"/>
      <c r="AA110" s="105"/>
      <c r="AB110" s="105"/>
      <c r="AC110" s="105"/>
      <c r="AD110" s="105"/>
    </row>
    <row r="111">
      <c r="A111" s="2"/>
      <c r="B111" s="2"/>
      <c r="C111" s="78"/>
      <c r="D111" s="78"/>
      <c r="E111" s="78"/>
      <c r="F111" s="2"/>
      <c r="G111" s="2"/>
      <c r="H111" s="2"/>
      <c r="I111" s="2"/>
      <c r="J111" s="2"/>
      <c r="K111" s="2"/>
      <c r="L111" s="2"/>
      <c r="M111" s="96">
        <v>45921.0</v>
      </c>
      <c r="N111" s="97" t="s">
        <v>75</v>
      </c>
      <c r="O111" s="97" t="s">
        <v>27</v>
      </c>
      <c r="P111" s="114" t="s">
        <v>159</v>
      </c>
      <c r="Q111" s="99">
        <v>56.5</v>
      </c>
      <c r="R111" s="97" t="s">
        <v>17</v>
      </c>
      <c r="S111" s="2"/>
      <c r="T111" s="2"/>
      <c r="U111" s="2"/>
      <c r="V111" s="2"/>
      <c r="W111" s="2"/>
      <c r="X111" s="2"/>
      <c r="Y111" s="2"/>
      <c r="Z111" s="2"/>
      <c r="AA111" s="105"/>
      <c r="AB111" s="105"/>
      <c r="AC111" s="105"/>
      <c r="AD111" s="105"/>
    </row>
    <row r="112">
      <c r="A112" s="2"/>
      <c r="B112" s="2"/>
      <c r="C112" s="78"/>
      <c r="D112" s="78"/>
      <c r="E112" s="78"/>
      <c r="F112" s="2"/>
      <c r="G112" s="2"/>
      <c r="H112" s="2"/>
      <c r="I112" s="2"/>
      <c r="J112" s="2"/>
      <c r="K112" s="2"/>
      <c r="L112" s="2"/>
      <c r="M112" s="96">
        <v>45926.0</v>
      </c>
      <c r="N112" s="97" t="s">
        <v>88</v>
      </c>
      <c r="O112" s="97" t="s">
        <v>55</v>
      </c>
      <c r="P112" s="114" t="s">
        <v>162</v>
      </c>
      <c r="Q112" s="99">
        <v>106.66</v>
      </c>
      <c r="R112" s="97" t="s">
        <v>17</v>
      </c>
      <c r="S112" s="2"/>
      <c r="T112" s="2"/>
      <c r="U112" s="2"/>
      <c r="V112" s="2"/>
      <c r="W112" s="2"/>
      <c r="X112" s="2"/>
      <c r="Y112" s="2"/>
      <c r="Z112" s="2"/>
      <c r="AA112" s="105"/>
      <c r="AB112" s="105"/>
      <c r="AC112" s="105"/>
      <c r="AD112" s="105"/>
    </row>
    <row r="113">
      <c r="A113" s="2"/>
      <c r="B113" s="2"/>
      <c r="C113" s="78"/>
      <c r="D113" s="78"/>
      <c r="E113" s="78"/>
      <c r="F113" s="2"/>
      <c r="G113" s="2"/>
      <c r="H113" s="2"/>
      <c r="I113" s="2"/>
      <c r="J113" s="2"/>
      <c r="K113" s="2"/>
      <c r="L113" s="2"/>
      <c r="M113" s="96">
        <v>45926.0</v>
      </c>
      <c r="N113" s="97" t="s">
        <v>90</v>
      </c>
      <c r="O113" s="97" t="s">
        <v>46</v>
      </c>
      <c r="P113" s="114" t="s">
        <v>159</v>
      </c>
      <c r="Q113" s="99">
        <v>51.75</v>
      </c>
      <c r="R113" s="97" t="s">
        <v>17</v>
      </c>
      <c r="S113" s="2"/>
      <c r="T113" s="2"/>
      <c r="U113" s="2"/>
      <c r="V113" s="2"/>
      <c r="W113" s="2"/>
      <c r="X113" s="2"/>
      <c r="Y113" s="2"/>
      <c r="Z113" s="2"/>
      <c r="AA113" s="105"/>
      <c r="AB113" s="105"/>
      <c r="AC113" s="105"/>
      <c r="AD113" s="105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96">
        <v>45933.0</v>
      </c>
      <c r="N114" s="97" t="s">
        <v>106</v>
      </c>
      <c r="O114" s="97" t="s">
        <v>55</v>
      </c>
      <c r="P114" s="114" t="s">
        <v>159</v>
      </c>
      <c r="Q114" s="99">
        <v>100.0</v>
      </c>
      <c r="R114" s="97" t="s">
        <v>17</v>
      </c>
      <c r="S114" s="2"/>
      <c r="T114" s="2"/>
      <c r="U114" s="2"/>
      <c r="V114" s="2"/>
      <c r="W114" s="2"/>
      <c r="X114" s="2"/>
      <c r="Y114" s="2"/>
      <c r="Z114" s="2"/>
      <c r="AA114" s="105"/>
      <c r="AB114" s="105"/>
      <c r="AC114" s="105"/>
      <c r="AD114" s="105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96">
        <v>45937.0</v>
      </c>
      <c r="N115" s="97" t="s">
        <v>118</v>
      </c>
      <c r="O115" s="97" t="s">
        <v>55</v>
      </c>
      <c r="P115" s="114" t="s">
        <v>159</v>
      </c>
      <c r="Q115" s="99">
        <v>40.5</v>
      </c>
      <c r="R115" s="97" t="s">
        <v>17</v>
      </c>
      <c r="S115" s="2"/>
      <c r="T115" s="2"/>
      <c r="U115" s="2"/>
      <c r="V115" s="2"/>
      <c r="W115" s="2"/>
      <c r="X115" s="2"/>
      <c r="Y115" s="2"/>
      <c r="Z115" s="2"/>
      <c r="AA115" s="105"/>
      <c r="AB115" s="105"/>
      <c r="AC115" s="105"/>
      <c r="AD115" s="105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96">
        <v>45937.0</v>
      </c>
      <c r="N116" s="97" t="s">
        <v>121</v>
      </c>
      <c r="O116" s="97" t="s">
        <v>55</v>
      </c>
      <c r="P116" s="114" t="s">
        <v>159</v>
      </c>
      <c r="Q116" s="99">
        <v>66.0</v>
      </c>
      <c r="R116" s="97" t="s">
        <v>17</v>
      </c>
      <c r="S116" s="2"/>
      <c r="T116" s="2"/>
      <c r="U116" s="2"/>
      <c r="V116" s="2"/>
      <c r="W116" s="2"/>
      <c r="X116" s="2"/>
      <c r="Y116" s="2"/>
      <c r="Z116" s="2"/>
      <c r="AA116" s="105"/>
      <c r="AB116" s="105"/>
      <c r="AC116" s="105"/>
      <c r="AD116" s="105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96">
        <v>45938.0</v>
      </c>
      <c r="N117" s="97" t="s">
        <v>125</v>
      </c>
      <c r="O117" s="97" t="s">
        <v>50</v>
      </c>
      <c r="P117" s="114" t="s">
        <v>159</v>
      </c>
      <c r="Q117" s="99">
        <v>62.4</v>
      </c>
      <c r="R117" s="97" t="s">
        <v>17</v>
      </c>
      <c r="S117" s="2"/>
      <c r="T117" s="2"/>
      <c r="U117" s="2"/>
      <c r="V117" s="2"/>
      <c r="W117" s="2"/>
      <c r="X117" s="2"/>
      <c r="Y117" s="2"/>
      <c r="Z117" s="2"/>
      <c r="AA117" s="105"/>
      <c r="AB117" s="105"/>
      <c r="AC117" s="105"/>
      <c r="AD117" s="105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96">
        <v>45940.0</v>
      </c>
      <c r="N118" s="97" t="s">
        <v>127</v>
      </c>
      <c r="O118" s="97" t="s">
        <v>37</v>
      </c>
      <c r="P118" s="114" t="s">
        <v>159</v>
      </c>
      <c r="Q118" s="99">
        <v>75.0</v>
      </c>
      <c r="R118" s="97" t="s">
        <v>17</v>
      </c>
      <c r="S118" s="2"/>
      <c r="T118" s="2"/>
      <c r="U118" s="2"/>
      <c r="V118" s="2"/>
      <c r="W118" s="2"/>
      <c r="X118" s="2"/>
      <c r="Y118" s="2"/>
      <c r="Z118" s="2"/>
      <c r="AA118" s="105"/>
      <c r="AB118" s="105"/>
      <c r="AC118" s="105"/>
      <c r="AD118" s="105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96">
        <v>45946.0</v>
      </c>
      <c r="N119" s="97" t="s">
        <v>139</v>
      </c>
      <c r="O119" s="97" t="s">
        <v>133</v>
      </c>
      <c r="P119" s="128" t="s">
        <v>164</v>
      </c>
      <c r="Q119" s="99">
        <v>99.82</v>
      </c>
      <c r="R119" s="97" t="s">
        <v>17</v>
      </c>
      <c r="S119" s="2"/>
      <c r="T119" s="2"/>
      <c r="U119" s="2"/>
      <c r="V119" s="2"/>
      <c r="W119" s="2"/>
      <c r="X119" s="2"/>
      <c r="Y119" s="2"/>
      <c r="Z119" s="2"/>
      <c r="AA119" s="105"/>
      <c r="AB119" s="105"/>
      <c r="AC119" s="105"/>
      <c r="AD119" s="105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59">
        <v>45952.0</v>
      </c>
      <c r="N120" s="60" t="s">
        <v>175</v>
      </c>
      <c r="O120" s="60" t="s">
        <v>59</v>
      </c>
      <c r="P120" s="61">
        <v>45992.0</v>
      </c>
      <c r="Q120" s="62">
        <v>133.22</v>
      </c>
      <c r="R120" s="60" t="s">
        <v>17</v>
      </c>
      <c r="S120" s="2"/>
      <c r="T120" s="2"/>
      <c r="U120" s="2"/>
      <c r="V120" s="2"/>
      <c r="W120" s="2"/>
      <c r="X120" s="2"/>
      <c r="Y120" s="2"/>
      <c r="Z120" s="2"/>
      <c r="AA120" s="105"/>
      <c r="AB120" s="105"/>
      <c r="AC120" s="105"/>
      <c r="AD120" s="105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59">
        <v>45952.0</v>
      </c>
      <c r="N121" s="60" t="s">
        <v>172</v>
      </c>
      <c r="O121" s="60" t="s">
        <v>27</v>
      </c>
      <c r="P121" s="61">
        <v>45689.0</v>
      </c>
      <c r="Q121" s="62">
        <v>58.52</v>
      </c>
      <c r="R121" s="60" t="s">
        <v>17</v>
      </c>
      <c r="S121" s="2"/>
      <c r="T121" s="2"/>
      <c r="U121" s="2"/>
      <c r="V121" s="2"/>
      <c r="W121" s="2"/>
      <c r="X121" s="2"/>
      <c r="Y121" s="2"/>
      <c r="Z121" s="2"/>
      <c r="AA121" s="105"/>
      <c r="AB121" s="105"/>
      <c r="AC121" s="105"/>
      <c r="AD121" s="105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96">
        <v>45971.0</v>
      </c>
      <c r="N122" s="141" t="s">
        <v>209</v>
      </c>
      <c r="O122" s="141" t="s">
        <v>55</v>
      </c>
      <c r="P122" s="98">
        <v>45717.0</v>
      </c>
      <c r="Q122" s="99">
        <v>77.93</v>
      </c>
      <c r="R122" s="141" t="s">
        <v>17</v>
      </c>
      <c r="S122" s="2"/>
      <c r="T122" s="2"/>
      <c r="U122" s="2"/>
      <c r="V122" s="2"/>
      <c r="W122" s="2"/>
      <c r="X122" s="2"/>
      <c r="Y122" s="2"/>
      <c r="Z122" s="2"/>
      <c r="AA122" s="105"/>
      <c r="AB122" s="105"/>
      <c r="AC122" s="105"/>
      <c r="AD122" s="105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96">
        <v>45972.0</v>
      </c>
      <c r="N123" s="141" t="s">
        <v>211</v>
      </c>
      <c r="O123" s="141" t="s">
        <v>55</v>
      </c>
      <c r="P123" s="98">
        <v>45717.0</v>
      </c>
      <c r="Q123" s="99">
        <v>151.09</v>
      </c>
      <c r="R123" s="141" t="s">
        <v>17</v>
      </c>
      <c r="S123" s="2"/>
      <c r="T123" s="2"/>
      <c r="U123" s="2"/>
      <c r="V123" s="2"/>
      <c r="W123" s="2"/>
      <c r="X123" s="2"/>
      <c r="Y123" s="2"/>
      <c r="Z123" s="2"/>
      <c r="AA123" s="105"/>
      <c r="AB123" s="105"/>
      <c r="AC123" s="105"/>
      <c r="AD123" s="105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59">
        <v>45978.0</v>
      </c>
      <c r="N124" s="60" t="s">
        <v>223</v>
      </c>
      <c r="O124" s="60" t="s">
        <v>27</v>
      </c>
      <c r="P124" s="61">
        <v>45689.0</v>
      </c>
      <c r="Q124" s="62">
        <v>118.41</v>
      </c>
      <c r="R124" s="60" t="s">
        <v>17</v>
      </c>
      <c r="S124" s="2"/>
      <c r="T124" s="2"/>
      <c r="U124" s="2"/>
      <c r="V124" s="2"/>
      <c r="W124" s="2"/>
      <c r="X124" s="2"/>
      <c r="Y124" s="2"/>
      <c r="Z124" s="2"/>
      <c r="AA124" s="105"/>
      <c r="AB124" s="105"/>
      <c r="AC124" s="105"/>
      <c r="AD124" s="105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4"/>
      <c r="M125" s="102"/>
      <c r="N125" s="103" t="s">
        <v>47</v>
      </c>
      <c r="O125" s="102"/>
      <c r="P125" s="104"/>
      <c r="Q125" s="104">
        <f>SUM(Q107:Q124)</f>
        <v>1901.4</v>
      </c>
      <c r="R125" s="102"/>
      <c r="S125" s="2"/>
      <c r="T125" s="2"/>
      <c r="U125" s="2"/>
      <c r="V125" s="2"/>
      <c r="W125" s="2"/>
      <c r="X125" s="2"/>
      <c r="Y125" s="2"/>
      <c r="Z125" s="2"/>
      <c r="AA125" s="105"/>
      <c r="AB125" s="105"/>
      <c r="AC125" s="105"/>
      <c r="AD125" s="105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5"/>
      <c r="N126" s="15"/>
      <c r="O126" s="15"/>
      <c r="P126" s="15"/>
      <c r="Q126" s="15"/>
      <c r="R126" s="15"/>
      <c r="S126" s="2"/>
      <c r="T126" s="2"/>
      <c r="U126" s="2"/>
      <c r="V126" s="2"/>
      <c r="W126" s="2"/>
      <c r="X126" s="2"/>
      <c r="Y126" s="2"/>
      <c r="Z126" s="2"/>
      <c r="AA126" s="105"/>
      <c r="AB126" s="105"/>
      <c r="AC126" s="105"/>
      <c r="AD126" s="105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105"/>
      <c r="AB127" s="105"/>
      <c r="AC127" s="105"/>
      <c r="AD127" s="105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105"/>
      <c r="AB128" s="105"/>
      <c r="AC128" s="105"/>
      <c r="AD128" s="105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105"/>
      <c r="AB129" s="105"/>
      <c r="AC129" s="105"/>
      <c r="AD129" s="105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105"/>
      <c r="AB130" s="105"/>
      <c r="AC130" s="105"/>
      <c r="AD130" s="105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105"/>
      <c r="AB131" s="105"/>
      <c r="AC131" s="105"/>
      <c r="AD131" s="105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105"/>
      <c r="AB132" s="105"/>
      <c r="AC132" s="105"/>
      <c r="AD132" s="105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105"/>
      <c r="AB133" s="105"/>
      <c r="AC133" s="105"/>
      <c r="AD133" s="105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105"/>
      <c r="AB134" s="105"/>
      <c r="AC134" s="105"/>
      <c r="AD134" s="105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105"/>
      <c r="AB135" s="105"/>
      <c r="AC135" s="105"/>
      <c r="AD135" s="105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105"/>
      <c r="AB136" s="105"/>
      <c r="AC136" s="105"/>
      <c r="AD136" s="105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105"/>
      <c r="AB137" s="105"/>
      <c r="AC137" s="105"/>
      <c r="AD137" s="105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105"/>
      <c r="AB138" s="105"/>
      <c r="AC138" s="105"/>
      <c r="AD138" s="105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105"/>
      <c r="AB139" s="105"/>
      <c r="AC139" s="105"/>
      <c r="AD139" s="105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105"/>
      <c r="AB140" s="105"/>
      <c r="AC140" s="105"/>
      <c r="AD140" s="105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105"/>
      <c r="AB141" s="105"/>
      <c r="AC141" s="105"/>
      <c r="AD141" s="105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105"/>
      <c r="AB142" s="105"/>
      <c r="AC142" s="105"/>
      <c r="AD142" s="105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105"/>
      <c r="AB143" s="105"/>
      <c r="AC143" s="105"/>
      <c r="AD143" s="105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105"/>
      <c r="AB144" s="105"/>
      <c r="AC144" s="105"/>
      <c r="AD144" s="105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105"/>
      <c r="AB145" s="105"/>
      <c r="AC145" s="105"/>
      <c r="AD145" s="105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105"/>
      <c r="AB146" s="105"/>
      <c r="AC146" s="105"/>
      <c r="AD146" s="105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105"/>
      <c r="AB147" s="105"/>
      <c r="AC147" s="105"/>
      <c r="AD147" s="105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105"/>
      <c r="AB148" s="105"/>
      <c r="AC148" s="105"/>
      <c r="AD148" s="105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105"/>
      <c r="AB149" s="105"/>
      <c r="AC149" s="105"/>
      <c r="AD149" s="105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105"/>
      <c r="AB150" s="105"/>
      <c r="AC150" s="105"/>
      <c r="AD150" s="105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105"/>
      <c r="AB151" s="105"/>
      <c r="AC151" s="105"/>
      <c r="AD151" s="105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105"/>
      <c r="AB152" s="105"/>
      <c r="AC152" s="105"/>
      <c r="AD152" s="105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105"/>
      <c r="AB153" s="105"/>
      <c r="AC153" s="105"/>
      <c r="AD153" s="105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105"/>
      <c r="AB154" s="105"/>
      <c r="AC154" s="105"/>
      <c r="AD154" s="105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105"/>
      <c r="AB155" s="105"/>
      <c r="AC155" s="105"/>
      <c r="AD155" s="105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105"/>
      <c r="AB156" s="105"/>
      <c r="AC156" s="105"/>
      <c r="AD156" s="105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105"/>
      <c r="AB157" s="105"/>
      <c r="AC157" s="105"/>
      <c r="AD157" s="105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105"/>
      <c r="AB158" s="105"/>
      <c r="AC158" s="105"/>
      <c r="AD158" s="105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105"/>
      <c r="AB159" s="105"/>
      <c r="AC159" s="105"/>
      <c r="AD159" s="105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105"/>
      <c r="AB160" s="105"/>
      <c r="AC160" s="105"/>
      <c r="AD160" s="105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105"/>
      <c r="AB161" s="105"/>
      <c r="AC161" s="105"/>
      <c r="AD161" s="105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105"/>
      <c r="AB162" s="105"/>
      <c r="AC162" s="105"/>
      <c r="AD162" s="105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105"/>
      <c r="AB163" s="105"/>
      <c r="AC163" s="105"/>
      <c r="AD163" s="105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105"/>
      <c r="AB164" s="105"/>
      <c r="AC164" s="105"/>
      <c r="AD164" s="105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105"/>
      <c r="AB165" s="105"/>
      <c r="AC165" s="105"/>
      <c r="AD165" s="105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105"/>
      <c r="AB166" s="105"/>
      <c r="AC166" s="105"/>
      <c r="AD166" s="105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105"/>
      <c r="AB167" s="105"/>
      <c r="AC167" s="105"/>
      <c r="AD167" s="105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105"/>
      <c r="AB168" s="105"/>
      <c r="AC168" s="105"/>
      <c r="AD168" s="105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105"/>
      <c r="AB169" s="105"/>
      <c r="AC169" s="105"/>
      <c r="AD169" s="105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105"/>
      <c r="AB170" s="105"/>
      <c r="AC170" s="105"/>
      <c r="AD170" s="105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105"/>
      <c r="AB171" s="105"/>
      <c r="AC171" s="105"/>
      <c r="AD171" s="105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105"/>
      <c r="AB172" s="105"/>
      <c r="AC172" s="105"/>
      <c r="AD172" s="105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105"/>
      <c r="AB173" s="105"/>
      <c r="AC173" s="105"/>
      <c r="AD173" s="105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105"/>
      <c r="AB174" s="105"/>
      <c r="AC174" s="105"/>
      <c r="AD174" s="105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105"/>
      <c r="AB175" s="105"/>
      <c r="AC175" s="105"/>
      <c r="AD175" s="105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105"/>
      <c r="AB176" s="105"/>
      <c r="AC176" s="105"/>
      <c r="AD176" s="105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105"/>
      <c r="AB177" s="105"/>
      <c r="AC177" s="105"/>
      <c r="AD177" s="105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105"/>
      <c r="AB178" s="105"/>
      <c r="AC178" s="105"/>
      <c r="AD178" s="105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105"/>
      <c r="AB179" s="105"/>
      <c r="AC179" s="105"/>
      <c r="AD179" s="105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105"/>
      <c r="AB180" s="105"/>
      <c r="AC180" s="105"/>
      <c r="AD180" s="105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105"/>
      <c r="AB181" s="105"/>
      <c r="AC181" s="105"/>
      <c r="AD181" s="105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105"/>
      <c r="AB182" s="105"/>
      <c r="AC182" s="105"/>
      <c r="AD182" s="105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105"/>
      <c r="AB183" s="105"/>
      <c r="AC183" s="105"/>
      <c r="AD183" s="105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105"/>
      <c r="AB184" s="105"/>
      <c r="AC184" s="105"/>
      <c r="AD184" s="105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105"/>
      <c r="AB185" s="105"/>
      <c r="AC185" s="105"/>
      <c r="AD185" s="105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105"/>
      <c r="AB186" s="105"/>
      <c r="AC186" s="105"/>
      <c r="AD186" s="105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105"/>
      <c r="AB187" s="105"/>
      <c r="AC187" s="105"/>
      <c r="AD187" s="105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105"/>
      <c r="AB188" s="105"/>
      <c r="AC188" s="105"/>
      <c r="AD188" s="105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105"/>
      <c r="AB189" s="105"/>
      <c r="AC189" s="105"/>
      <c r="AD189" s="105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105"/>
      <c r="AB190" s="105"/>
      <c r="AC190" s="105"/>
      <c r="AD190" s="105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105"/>
      <c r="AB191" s="105"/>
      <c r="AC191" s="105"/>
      <c r="AD191" s="105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105"/>
      <c r="AB192" s="105"/>
      <c r="AC192" s="105"/>
      <c r="AD192" s="105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105"/>
      <c r="AB193" s="105"/>
      <c r="AC193" s="105"/>
      <c r="AD193" s="105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105"/>
      <c r="AB194" s="105"/>
      <c r="AC194" s="105"/>
      <c r="AD194" s="105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105"/>
      <c r="AB195" s="105"/>
      <c r="AC195" s="105"/>
      <c r="AD195" s="105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105"/>
      <c r="AB196" s="105"/>
      <c r="AC196" s="105"/>
      <c r="AD196" s="105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105"/>
      <c r="AB197" s="105"/>
      <c r="AC197" s="105"/>
      <c r="AD197" s="105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105"/>
      <c r="AB198" s="105"/>
      <c r="AC198" s="105"/>
      <c r="AD198" s="105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105"/>
      <c r="AB199" s="105"/>
      <c r="AC199" s="105"/>
      <c r="AD199" s="105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105"/>
      <c r="AB200" s="105"/>
      <c r="AC200" s="105"/>
      <c r="AD200" s="105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105"/>
      <c r="AB201" s="105"/>
      <c r="AC201" s="105"/>
      <c r="AD201" s="105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105"/>
      <c r="AB202" s="105"/>
      <c r="AC202" s="105"/>
      <c r="AD202" s="105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105"/>
      <c r="AB203" s="105"/>
      <c r="AC203" s="105"/>
      <c r="AD203" s="105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105"/>
      <c r="AB204" s="105"/>
      <c r="AC204" s="105"/>
      <c r="AD204" s="105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105"/>
      <c r="AB205" s="105"/>
      <c r="AC205" s="105"/>
      <c r="AD205" s="105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105"/>
      <c r="AB206" s="105"/>
      <c r="AC206" s="105"/>
      <c r="AD206" s="105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105"/>
      <c r="AB207" s="105"/>
      <c r="AC207" s="105"/>
      <c r="AD207" s="105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105"/>
      <c r="AB208" s="105"/>
      <c r="AC208" s="105"/>
      <c r="AD208" s="105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105"/>
      <c r="AB209" s="105"/>
      <c r="AC209" s="105"/>
      <c r="AD209" s="105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105"/>
      <c r="AB210" s="105"/>
      <c r="AC210" s="105"/>
      <c r="AD210" s="105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105"/>
      <c r="AB211" s="105"/>
      <c r="AC211" s="105"/>
      <c r="AD211" s="105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105"/>
      <c r="AB212" s="105"/>
      <c r="AC212" s="105"/>
      <c r="AD212" s="105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105"/>
      <c r="AB213" s="105"/>
      <c r="AC213" s="105"/>
      <c r="AD213" s="105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105"/>
      <c r="AB214" s="105"/>
      <c r="AC214" s="105"/>
      <c r="AD214" s="105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105"/>
      <c r="AB215" s="105"/>
      <c r="AC215" s="105"/>
      <c r="AD215" s="105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105"/>
      <c r="AB216" s="105"/>
      <c r="AC216" s="105"/>
      <c r="AD216" s="105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105"/>
      <c r="AB217" s="105"/>
      <c r="AC217" s="105"/>
      <c r="AD217" s="105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105"/>
      <c r="AB218" s="105"/>
      <c r="AC218" s="105"/>
      <c r="AD218" s="105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105"/>
      <c r="AB219" s="105"/>
      <c r="AC219" s="105"/>
      <c r="AD219" s="105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105"/>
      <c r="AB220" s="105"/>
      <c r="AC220" s="105"/>
      <c r="AD220" s="105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105"/>
      <c r="AB221" s="105"/>
      <c r="AC221" s="105"/>
      <c r="AD221" s="105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105"/>
      <c r="AB222" s="105"/>
      <c r="AC222" s="105"/>
      <c r="AD222" s="105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105"/>
      <c r="AB223" s="105"/>
      <c r="AC223" s="105"/>
      <c r="AD223" s="105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105"/>
      <c r="AB224" s="105"/>
      <c r="AC224" s="105"/>
      <c r="AD224" s="105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105"/>
      <c r="AB225" s="105"/>
      <c r="AC225" s="105"/>
      <c r="AD225" s="105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105"/>
      <c r="AB226" s="105"/>
      <c r="AC226" s="105"/>
      <c r="AD226" s="105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105"/>
      <c r="AB227" s="105"/>
      <c r="AC227" s="105"/>
      <c r="AD227" s="105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105"/>
      <c r="AB228" s="105"/>
      <c r="AC228" s="105"/>
      <c r="AD228" s="105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105"/>
      <c r="AB229" s="105"/>
      <c r="AC229" s="105"/>
      <c r="AD229" s="105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105"/>
      <c r="AB230" s="105"/>
      <c r="AC230" s="105"/>
      <c r="AD230" s="105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105"/>
      <c r="AB231" s="105"/>
      <c r="AC231" s="105"/>
      <c r="AD231" s="105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105"/>
      <c r="AB232" s="105"/>
      <c r="AC232" s="105"/>
      <c r="AD232" s="105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105"/>
      <c r="AB233" s="105"/>
      <c r="AC233" s="105"/>
      <c r="AD233" s="105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105"/>
      <c r="AB234" s="105"/>
      <c r="AC234" s="105"/>
      <c r="AD234" s="105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105"/>
      <c r="AB235" s="105"/>
      <c r="AC235" s="105"/>
      <c r="AD235" s="105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105"/>
      <c r="AB236" s="105"/>
      <c r="AC236" s="105"/>
      <c r="AD236" s="105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105"/>
      <c r="AB237" s="105"/>
      <c r="AC237" s="105"/>
      <c r="AD237" s="105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105"/>
      <c r="AB238" s="105"/>
      <c r="AC238" s="105"/>
      <c r="AD238" s="105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105"/>
      <c r="AB239" s="105"/>
      <c r="AC239" s="105"/>
      <c r="AD239" s="105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105"/>
      <c r="AB240" s="105"/>
      <c r="AC240" s="105"/>
      <c r="AD240" s="105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105"/>
      <c r="AB241" s="105"/>
      <c r="AC241" s="105"/>
      <c r="AD241" s="105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105"/>
      <c r="AB242" s="105"/>
      <c r="AC242" s="105"/>
      <c r="AD242" s="105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105"/>
      <c r="AB243" s="105"/>
      <c r="AC243" s="105"/>
      <c r="AD243" s="105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105"/>
      <c r="AB244" s="105"/>
      <c r="AC244" s="105"/>
      <c r="AD244" s="105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105"/>
      <c r="AB245" s="105"/>
      <c r="AC245" s="105"/>
      <c r="AD245" s="105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105"/>
      <c r="AB246" s="105"/>
      <c r="AC246" s="105"/>
      <c r="AD246" s="105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105"/>
      <c r="AB247" s="105"/>
      <c r="AC247" s="105"/>
      <c r="AD247" s="105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105"/>
      <c r="AB248" s="105"/>
      <c r="AC248" s="105"/>
      <c r="AD248" s="105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105"/>
      <c r="AB249" s="105"/>
      <c r="AC249" s="105"/>
      <c r="AD249" s="105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105"/>
      <c r="AB250" s="105"/>
      <c r="AC250" s="105"/>
      <c r="AD250" s="105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105"/>
      <c r="AB251" s="105"/>
      <c r="AC251" s="105"/>
      <c r="AD251" s="105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105"/>
      <c r="AB252" s="105"/>
      <c r="AC252" s="105"/>
      <c r="AD252" s="105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105"/>
      <c r="AB253" s="105"/>
      <c r="AC253" s="105"/>
      <c r="AD253" s="105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105"/>
      <c r="AB254" s="105"/>
      <c r="AC254" s="105"/>
      <c r="AD254" s="105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105"/>
      <c r="AB255" s="105"/>
      <c r="AC255" s="105"/>
      <c r="AD255" s="105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105"/>
      <c r="AB256" s="105"/>
      <c r="AC256" s="105"/>
      <c r="AD256" s="105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105"/>
      <c r="AB257" s="105"/>
      <c r="AC257" s="105"/>
      <c r="AD257" s="105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105"/>
      <c r="AB258" s="105"/>
      <c r="AC258" s="105"/>
      <c r="AD258" s="105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105"/>
      <c r="AB259" s="105"/>
      <c r="AC259" s="105"/>
      <c r="AD259" s="105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105"/>
      <c r="AB260" s="105"/>
      <c r="AC260" s="105"/>
      <c r="AD260" s="105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105"/>
      <c r="AB261" s="105"/>
      <c r="AC261" s="105"/>
      <c r="AD261" s="105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105"/>
      <c r="AB262" s="105"/>
      <c r="AC262" s="105"/>
      <c r="AD262" s="105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105"/>
      <c r="AB263" s="105"/>
      <c r="AC263" s="105"/>
      <c r="AD263" s="105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105"/>
      <c r="AB264" s="105"/>
      <c r="AC264" s="105"/>
      <c r="AD264" s="105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105"/>
      <c r="AB265" s="105"/>
      <c r="AC265" s="105"/>
      <c r="AD265" s="105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105"/>
      <c r="AB266" s="105"/>
      <c r="AC266" s="105"/>
      <c r="AD266" s="105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105"/>
      <c r="AB267" s="105"/>
      <c r="AC267" s="105"/>
      <c r="AD267" s="105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105"/>
      <c r="AB268" s="105"/>
      <c r="AC268" s="105"/>
      <c r="AD268" s="105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105"/>
      <c r="AB269" s="105"/>
      <c r="AC269" s="105"/>
      <c r="AD269" s="105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105"/>
      <c r="AB270" s="105"/>
      <c r="AC270" s="105"/>
      <c r="AD270" s="105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105"/>
      <c r="AB271" s="105"/>
      <c r="AC271" s="105"/>
      <c r="AD271" s="105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105"/>
      <c r="AB272" s="105"/>
      <c r="AC272" s="105"/>
      <c r="AD272" s="105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105"/>
      <c r="AB273" s="105"/>
      <c r="AC273" s="105"/>
      <c r="AD273" s="105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105"/>
      <c r="AB274" s="105"/>
      <c r="AC274" s="105"/>
      <c r="AD274" s="105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105"/>
      <c r="AB275" s="105"/>
      <c r="AC275" s="105"/>
      <c r="AD275" s="105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105"/>
      <c r="AB276" s="105"/>
      <c r="AC276" s="105"/>
      <c r="AD276" s="105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105"/>
      <c r="AB277" s="105"/>
      <c r="AC277" s="105"/>
      <c r="AD277" s="105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105"/>
      <c r="AB278" s="105"/>
      <c r="AC278" s="105"/>
      <c r="AD278" s="105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105"/>
      <c r="AB279" s="105"/>
      <c r="AC279" s="105"/>
      <c r="AD279" s="105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105"/>
      <c r="AB280" s="105"/>
      <c r="AC280" s="105"/>
      <c r="AD280" s="105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105"/>
      <c r="AB281" s="105"/>
      <c r="AC281" s="105"/>
      <c r="AD281" s="105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105"/>
      <c r="AB282" s="105"/>
      <c r="AC282" s="105"/>
      <c r="AD282" s="105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105"/>
      <c r="AB283" s="105"/>
      <c r="AC283" s="105"/>
      <c r="AD283" s="105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105"/>
      <c r="AB284" s="105"/>
      <c r="AC284" s="105"/>
      <c r="AD284" s="105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105"/>
      <c r="AB285" s="105"/>
      <c r="AC285" s="105"/>
      <c r="AD285" s="105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105"/>
      <c r="AB286" s="105"/>
      <c r="AC286" s="105"/>
      <c r="AD286" s="105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105"/>
      <c r="AB287" s="105"/>
      <c r="AC287" s="105"/>
      <c r="AD287" s="105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105"/>
      <c r="AB288" s="105"/>
      <c r="AC288" s="105"/>
      <c r="AD288" s="105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105"/>
      <c r="AB289" s="105"/>
      <c r="AC289" s="105"/>
      <c r="AD289" s="105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105"/>
      <c r="AB290" s="105"/>
      <c r="AC290" s="105"/>
      <c r="AD290" s="105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105"/>
      <c r="AB291" s="105"/>
      <c r="AC291" s="105"/>
      <c r="AD291" s="105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105"/>
      <c r="AB292" s="105"/>
      <c r="AC292" s="105"/>
      <c r="AD292" s="105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105"/>
      <c r="AB293" s="105"/>
      <c r="AC293" s="105"/>
      <c r="AD293" s="105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105"/>
      <c r="AB294" s="105"/>
      <c r="AC294" s="105"/>
      <c r="AD294" s="105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105"/>
      <c r="AB295" s="105"/>
      <c r="AC295" s="105"/>
      <c r="AD295" s="105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105"/>
      <c r="AB296" s="105"/>
      <c r="AC296" s="105"/>
      <c r="AD296" s="105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105"/>
      <c r="AB297" s="105"/>
      <c r="AC297" s="105"/>
      <c r="AD297" s="105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105"/>
      <c r="AB298" s="105"/>
      <c r="AC298" s="105"/>
      <c r="AD298" s="105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105"/>
      <c r="AB299" s="105"/>
      <c r="AC299" s="105"/>
      <c r="AD299" s="105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105"/>
      <c r="AB300" s="105"/>
      <c r="AC300" s="105"/>
      <c r="AD300" s="105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105"/>
      <c r="AB301" s="105"/>
      <c r="AC301" s="105"/>
      <c r="AD301" s="105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105"/>
      <c r="AB302" s="105"/>
      <c r="AC302" s="105"/>
      <c r="AD302" s="105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105"/>
      <c r="AB303" s="105"/>
      <c r="AC303" s="105"/>
      <c r="AD303" s="105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105"/>
      <c r="AB304" s="105"/>
      <c r="AC304" s="105"/>
      <c r="AD304" s="105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105"/>
      <c r="AB305" s="105"/>
      <c r="AC305" s="105"/>
      <c r="AD305" s="105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105"/>
      <c r="AB306" s="105"/>
      <c r="AC306" s="105"/>
      <c r="AD306" s="105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105"/>
      <c r="AB307" s="105"/>
      <c r="AC307" s="105"/>
      <c r="AD307" s="105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105"/>
      <c r="AB308" s="105"/>
      <c r="AC308" s="105"/>
      <c r="AD308" s="105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105"/>
      <c r="AB309" s="105"/>
      <c r="AC309" s="105"/>
      <c r="AD309" s="105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105"/>
      <c r="AB310" s="105"/>
      <c r="AC310" s="105"/>
      <c r="AD310" s="105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105"/>
      <c r="AB311" s="105"/>
      <c r="AC311" s="105"/>
      <c r="AD311" s="105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105"/>
      <c r="AB312" s="105"/>
      <c r="AC312" s="105"/>
      <c r="AD312" s="105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105"/>
      <c r="AB313" s="105"/>
      <c r="AC313" s="105"/>
      <c r="AD313" s="105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105"/>
      <c r="AB314" s="105"/>
      <c r="AC314" s="105"/>
      <c r="AD314" s="105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105"/>
      <c r="AB315" s="105"/>
      <c r="AC315" s="105"/>
      <c r="AD315" s="105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105"/>
      <c r="AB316" s="105"/>
      <c r="AC316" s="105"/>
      <c r="AD316" s="105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105"/>
      <c r="AB317" s="105"/>
      <c r="AC317" s="105"/>
      <c r="AD317" s="105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105"/>
      <c r="AB318" s="105"/>
      <c r="AC318" s="105"/>
      <c r="AD318" s="105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105"/>
      <c r="AB319" s="105"/>
      <c r="AC319" s="105"/>
      <c r="AD319" s="105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105"/>
      <c r="AB320" s="105"/>
      <c r="AC320" s="105"/>
      <c r="AD320" s="105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105"/>
      <c r="AB321" s="105"/>
      <c r="AC321" s="105"/>
      <c r="AD321" s="105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105"/>
      <c r="AB322" s="105"/>
      <c r="AC322" s="105"/>
      <c r="AD322" s="105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105"/>
      <c r="AB323" s="105"/>
      <c r="AC323" s="105"/>
      <c r="AD323" s="105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105"/>
      <c r="AB324" s="105"/>
      <c r="AC324" s="105"/>
      <c r="AD324" s="105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105"/>
      <c r="AB325" s="105"/>
      <c r="AC325" s="105"/>
      <c r="AD325" s="105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105"/>
      <c r="AB326" s="105"/>
      <c r="AC326" s="105"/>
      <c r="AD326" s="105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105"/>
      <c r="AB327" s="105"/>
      <c r="AC327" s="105"/>
      <c r="AD327" s="105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105"/>
      <c r="AB328" s="105"/>
      <c r="AC328" s="105"/>
      <c r="AD328" s="105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105"/>
      <c r="AB329" s="105"/>
      <c r="AC329" s="105"/>
      <c r="AD329" s="105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105"/>
      <c r="AB330" s="105"/>
      <c r="AC330" s="105"/>
      <c r="AD330" s="105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105"/>
      <c r="AB331" s="105"/>
      <c r="AC331" s="105"/>
      <c r="AD331" s="105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105"/>
      <c r="AB332" s="105"/>
      <c r="AC332" s="105"/>
      <c r="AD332" s="105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105"/>
      <c r="AB333" s="105"/>
      <c r="AC333" s="105"/>
      <c r="AD333" s="105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105"/>
      <c r="AB334" s="105"/>
      <c r="AC334" s="105"/>
      <c r="AD334" s="105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105"/>
      <c r="AB335" s="105"/>
      <c r="AC335" s="105"/>
      <c r="AD335" s="105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105"/>
      <c r="AB336" s="105"/>
      <c r="AC336" s="105"/>
      <c r="AD336" s="105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105"/>
      <c r="AB337" s="105"/>
      <c r="AC337" s="105"/>
      <c r="AD337" s="105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105"/>
      <c r="AB338" s="105"/>
      <c r="AC338" s="105"/>
      <c r="AD338" s="105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105"/>
      <c r="AB339" s="105"/>
      <c r="AC339" s="105"/>
      <c r="AD339" s="105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105"/>
      <c r="AB340" s="105"/>
      <c r="AC340" s="105"/>
      <c r="AD340" s="105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105"/>
      <c r="AB341" s="105"/>
      <c r="AC341" s="105"/>
      <c r="AD341" s="105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105"/>
      <c r="AB342" s="105"/>
      <c r="AC342" s="105"/>
      <c r="AD342" s="105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105"/>
      <c r="AB343" s="105"/>
      <c r="AC343" s="105"/>
      <c r="AD343" s="105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105"/>
      <c r="AB344" s="105"/>
      <c r="AC344" s="105"/>
      <c r="AD344" s="105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105"/>
      <c r="AB345" s="105"/>
      <c r="AC345" s="105"/>
      <c r="AD345" s="105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105"/>
      <c r="AB346" s="105"/>
      <c r="AC346" s="105"/>
      <c r="AD346" s="105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105"/>
      <c r="AB347" s="105"/>
      <c r="AC347" s="105"/>
      <c r="AD347" s="105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105"/>
      <c r="AB348" s="105"/>
      <c r="AC348" s="105"/>
      <c r="AD348" s="105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105"/>
      <c r="AB349" s="105"/>
      <c r="AC349" s="105"/>
      <c r="AD349" s="105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105"/>
      <c r="AB350" s="105"/>
      <c r="AC350" s="105"/>
      <c r="AD350" s="105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105"/>
      <c r="AB351" s="105"/>
      <c r="AC351" s="105"/>
      <c r="AD351" s="105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105"/>
      <c r="AB352" s="105"/>
      <c r="AC352" s="105"/>
      <c r="AD352" s="105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105"/>
      <c r="AB353" s="105"/>
      <c r="AC353" s="105"/>
      <c r="AD353" s="105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105"/>
      <c r="AB354" s="105"/>
      <c r="AC354" s="105"/>
      <c r="AD354" s="105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105"/>
      <c r="AB355" s="105"/>
      <c r="AC355" s="105"/>
      <c r="AD355" s="105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105"/>
      <c r="AB356" s="105"/>
      <c r="AC356" s="105"/>
      <c r="AD356" s="105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105"/>
      <c r="AB357" s="105"/>
      <c r="AC357" s="105"/>
      <c r="AD357" s="105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105"/>
      <c r="AB358" s="105"/>
      <c r="AC358" s="105"/>
      <c r="AD358" s="105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105"/>
      <c r="AB359" s="105"/>
      <c r="AC359" s="105"/>
      <c r="AD359" s="105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105"/>
      <c r="AB360" s="105"/>
      <c r="AC360" s="105"/>
      <c r="AD360" s="105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105"/>
      <c r="AB361" s="105"/>
      <c r="AC361" s="105"/>
      <c r="AD361" s="105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105"/>
      <c r="AB362" s="105"/>
      <c r="AC362" s="105"/>
      <c r="AD362" s="105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105"/>
      <c r="AB363" s="105"/>
      <c r="AC363" s="105"/>
      <c r="AD363" s="105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105"/>
      <c r="AB364" s="105"/>
      <c r="AC364" s="105"/>
      <c r="AD364" s="105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105"/>
      <c r="AB365" s="105"/>
      <c r="AC365" s="105"/>
      <c r="AD365" s="105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105"/>
      <c r="AB366" s="105"/>
      <c r="AC366" s="105"/>
      <c r="AD366" s="105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105"/>
      <c r="AB367" s="105"/>
      <c r="AC367" s="105"/>
      <c r="AD367" s="105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105"/>
      <c r="AB368" s="105"/>
      <c r="AC368" s="105"/>
      <c r="AD368" s="105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105"/>
      <c r="AB369" s="105"/>
      <c r="AC369" s="105"/>
      <c r="AD369" s="105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105"/>
      <c r="AB370" s="105"/>
      <c r="AC370" s="105"/>
      <c r="AD370" s="105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105"/>
      <c r="AB371" s="105"/>
      <c r="AC371" s="105"/>
      <c r="AD371" s="105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105"/>
      <c r="AB372" s="105"/>
      <c r="AC372" s="105"/>
      <c r="AD372" s="105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105"/>
      <c r="AB373" s="105"/>
      <c r="AC373" s="105"/>
      <c r="AD373" s="105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105"/>
      <c r="AB374" s="105"/>
      <c r="AC374" s="105"/>
      <c r="AD374" s="105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105"/>
      <c r="AB375" s="105"/>
      <c r="AC375" s="105"/>
      <c r="AD375" s="105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105"/>
      <c r="AB376" s="105"/>
      <c r="AC376" s="105"/>
      <c r="AD376" s="105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105"/>
      <c r="AB377" s="105"/>
      <c r="AC377" s="105"/>
      <c r="AD377" s="105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105"/>
      <c r="AB378" s="105"/>
      <c r="AC378" s="105"/>
      <c r="AD378" s="105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105"/>
      <c r="AB379" s="105"/>
      <c r="AC379" s="105"/>
      <c r="AD379" s="105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105"/>
      <c r="AB380" s="105"/>
      <c r="AC380" s="105"/>
      <c r="AD380" s="105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105"/>
      <c r="AB381" s="105"/>
      <c r="AC381" s="105"/>
      <c r="AD381" s="105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105"/>
      <c r="AB382" s="105"/>
      <c r="AC382" s="105"/>
      <c r="AD382" s="105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105"/>
      <c r="AB383" s="105"/>
      <c r="AC383" s="105"/>
      <c r="AD383" s="105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105"/>
      <c r="AB384" s="105"/>
      <c r="AC384" s="105"/>
      <c r="AD384" s="105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105"/>
      <c r="AB385" s="105"/>
      <c r="AC385" s="105"/>
      <c r="AD385" s="105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105"/>
      <c r="AB386" s="105"/>
      <c r="AC386" s="105"/>
      <c r="AD386" s="105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105"/>
      <c r="AB387" s="105"/>
      <c r="AC387" s="105"/>
      <c r="AD387" s="105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105"/>
      <c r="AB388" s="105"/>
      <c r="AC388" s="105"/>
      <c r="AD388" s="105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105"/>
      <c r="AB389" s="105"/>
      <c r="AC389" s="105"/>
      <c r="AD389" s="105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105"/>
      <c r="AB390" s="105"/>
      <c r="AC390" s="105"/>
      <c r="AD390" s="105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105"/>
      <c r="AB391" s="105"/>
      <c r="AC391" s="105"/>
      <c r="AD391" s="105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105"/>
      <c r="AB392" s="105"/>
      <c r="AC392" s="105"/>
      <c r="AD392" s="105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105"/>
      <c r="AB393" s="105"/>
      <c r="AC393" s="105"/>
      <c r="AD393" s="105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105"/>
      <c r="AB394" s="105"/>
      <c r="AC394" s="105"/>
      <c r="AD394" s="105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105"/>
      <c r="AB395" s="105"/>
      <c r="AC395" s="105"/>
      <c r="AD395" s="105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105"/>
      <c r="AB396" s="105"/>
      <c r="AC396" s="105"/>
      <c r="AD396" s="105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105"/>
      <c r="AB397" s="105"/>
      <c r="AC397" s="105"/>
      <c r="AD397" s="105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105"/>
      <c r="AB398" s="105"/>
      <c r="AC398" s="105"/>
      <c r="AD398" s="105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105"/>
      <c r="AB399" s="105"/>
      <c r="AC399" s="105"/>
      <c r="AD399" s="105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105"/>
      <c r="AB400" s="105"/>
      <c r="AC400" s="105"/>
      <c r="AD400" s="105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105"/>
      <c r="AB401" s="105"/>
      <c r="AC401" s="105"/>
      <c r="AD401" s="105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105"/>
      <c r="AB402" s="105"/>
      <c r="AC402" s="105"/>
      <c r="AD402" s="105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105"/>
      <c r="AB403" s="105"/>
      <c r="AC403" s="105"/>
      <c r="AD403" s="105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105"/>
      <c r="AB404" s="105"/>
      <c r="AC404" s="105"/>
      <c r="AD404" s="105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105"/>
      <c r="AB405" s="105"/>
      <c r="AC405" s="105"/>
      <c r="AD405" s="105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105"/>
      <c r="AB406" s="105"/>
      <c r="AC406" s="105"/>
      <c r="AD406" s="105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105"/>
      <c r="AB407" s="105"/>
      <c r="AC407" s="105"/>
      <c r="AD407" s="105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105"/>
      <c r="AB408" s="105"/>
      <c r="AC408" s="105"/>
      <c r="AD408" s="105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105"/>
      <c r="AB409" s="105"/>
      <c r="AC409" s="105"/>
      <c r="AD409" s="105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105"/>
      <c r="AB410" s="105"/>
      <c r="AC410" s="105"/>
      <c r="AD410" s="105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105"/>
      <c r="AB411" s="105"/>
      <c r="AC411" s="105"/>
      <c r="AD411" s="105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105"/>
      <c r="AB412" s="105"/>
      <c r="AC412" s="105"/>
      <c r="AD412" s="105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105"/>
      <c r="AB413" s="105"/>
      <c r="AC413" s="105"/>
      <c r="AD413" s="105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105"/>
      <c r="AB414" s="105"/>
      <c r="AC414" s="105"/>
      <c r="AD414" s="105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105"/>
      <c r="AB415" s="105"/>
      <c r="AC415" s="105"/>
      <c r="AD415" s="105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105"/>
      <c r="AB416" s="105"/>
      <c r="AC416" s="105"/>
      <c r="AD416" s="105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105"/>
      <c r="AB417" s="105"/>
      <c r="AC417" s="105"/>
      <c r="AD417" s="105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105"/>
      <c r="AB418" s="105"/>
      <c r="AC418" s="105"/>
      <c r="AD418" s="105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105"/>
      <c r="AB419" s="105"/>
      <c r="AC419" s="105"/>
      <c r="AD419" s="105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105"/>
      <c r="AB420" s="105"/>
      <c r="AC420" s="105"/>
      <c r="AD420" s="105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105"/>
      <c r="AB421" s="105"/>
      <c r="AC421" s="105"/>
      <c r="AD421" s="105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105"/>
      <c r="AB422" s="105"/>
      <c r="AC422" s="105"/>
      <c r="AD422" s="105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105"/>
      <c r="AB423" s="105"/>
      <c r="AC423" s="105"/>
      <c r="AD423" s="105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105"/>
      <c r="AB424" s="105"/>
      <c r="AC424" s="105"/>
      <c r="AD424" s="105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105"/>
      <c r="AB425" s="105"/>
      <c r="AC425" s="105"/>
      <c r="AD425" s="105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105"/>
      <c r="AB426" s="105"/>
      <c r="AC426" s="105"/>
      <c r="AD426" s="105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105"/>
      <c r="AB427" s="105"/>
      <c r="AC427" s="105"/>
      <c r="AD427" s="105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105"/>
      <c r="AB428" s="105"/>
      <c r="AC428" s="105"/>
      <c r="AD428" s="105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105"/>
      <c r="AB429" s="105"/>
      <c r="AC429" s="105"/>
      <c r="AD429" s="105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105"/>
      <c r="AB430" s="105"/>
      <c r="AC430" s="105"/>
      <c r="AD430" s="105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105"/>
      <c r="AB431" s="105"/>
      <c r="AC431" s="105"/>
      <c r="AD431" s="105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105"/>
      <c r="AB432" s="105"/>
      <c r="AC432" s="105"/>
      <c r="AD432" s="105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105"/>
      <c r="AB433" s="105"/>
      <c r="AC433" s="105"/>
      <c r="AD433" s="105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105"/>
      <c r="AB434" s="105"/>
      <c r="AC434" s="105"/>
      <c r="AD434" s="105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105"/>
      <c r="AB435" s="105"/>
      <c r="AC435" s="105"/>
      <c r="AD435" s="105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105"/>
      <c r="AB436" s="105"/>
      <c r="AC436" s="105"/>
      <c r="AD436" s="105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105"/>
      <c r="AB437" s="105"/>
      <c r="AC437" s="105"/>
      <c r="AD437" s="105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105"/>
      <c r="AB438" s="105"/>
      <c r="AC438" s="105"/>
      <c r="AD438" s="105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105"/>
      <c r="AB439" s="105"/>
      <c r="AC439" s="105"/>
      <c r="AD439" s="105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105"/>
      <c r="AB440" s="105"/>
      <c r="AC440" s="105"/>
      <c r="AD440" s="105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105"/>
      <c r="AB441" s="105"/>
      <c r="AC441" s="105"/>
      <c r="AD441" s="105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105"/>
      <c r="AB442" s="105"/>
      <c r="AC442" s="105"/>
      <c r="AD442" s="105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105"/>
      <c r="AB443" s="105"/>
      <c r="AC443" s="105"/>
      <c r="AD443" s="105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105"/>
      <c r="AB444" s="105"/>
      <c r="AC444" s="105"/>
      <c r="AD444" s="105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105"/>
      <c r="AB445" s="105"/>
      <c r="AC445" s="105"/>
      <c r="AD445" s="105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105"/>
      <c r="AB446" s="105"/>
      <c r="AC446" s="105"/>
      <c r="AD446" s="105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105"/>
      <c r="AB447" s="105"/>
      <c r="AC447" s="105"/>
      <c r="AD447" s="105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105"/>
      <c r="AB448" s="105"/>
      <c r="AC448" s="105"/>
      <c r="AD448" s="105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105"/>
      <c r="AB449" s="105"/>
      <c r="AC449" s="105"/>
      <c r="AD449" s="105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105"/>
      <c r="AB450" s="105"/>
      <c r="AC450" s="105"/>
      <c r="AD450" s="105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105"/>
      <c r="AB451" s="105"/>
      <c r="AC451" s="105"/>
      <c r="AD451" s="105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105"/>
      <c r="AB452" s="105"/>
      <c r="AC452" s="105"/>
      <c r="AD452" s="105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105"/>
      <c r="AB453" s="105"/>
      <c r="AC453" s="105"/>
      <c r="AD453" s="105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105"/>
      <c r="AB454" s="105"/>
      <c r="AC454" s="105"/>
      <c r="AD454" s="105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105"/>
      <c r="AB455" s="105"/>
      <c r="AC455" s="105"/>
      <c r="AD455" s="105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105"/>
      <c r="AB456" s="105"/>
      <c r="AC456" s="105"/>
      <c r="AD456" s="105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105"/>
      <c r="AB457" s="105"/>
      <c r="AC457" s="105"/>
      <c r="AD457" s="105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105"/>
      <c r="AB458" s="105"/>
      <c r="AC458" s="105"/>
      <c r="AD458" s="105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105"/>
      <c r="AB459" s="105"/>
      <c r="AC459" s="105"/>
      <c r="AD459" s="105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105"/>
      <c r="AB460" s="105"/>
      <c r="AC460" s="105"/>
      <c r="AD460" s="105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105"/>
      <c r="AB461" s="105"/>
      <c r="AC461" s="105"/>
      <c r="AD461" s="105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105"/>
      <c r="AB462" s="105"/>
      <c r="AC462" s="105"/>
      <c r="AD462" s="105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105"/>
      <c r="AB463" s="105"/>
      <c r="AC463" s="105"/>
      <c r="AD463" s="105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105"/>
      <c r="AB464" s="105"/>
      <c r="AC464" s="105"/>
      <c r="AD464" s="105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105"/>
      <c r="AB465" s="105"/>
      <c r="AC465" s="105"/>
      <c r="AD465" s="105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105"/>
      <c r="AB466" s="105"/>
      <c r="AC466" s="105"/>
      <c r="AD466" s="105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105"/>
      <c r="AB467" s="105"/>
      <c r="AC467" s="105"/>
      <c r="AD467" s="105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105"/>
      <c r="AB468" s="105"/>
      <c r="AC468" s="105"/>
      <c r="AD468" s="105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105"/>
      <c r="AB469" s="105"/>
      <c r="AC469" s="105"/>
      <c r="AD469" s="105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105"/>
      <c r="AB470" s="105"/>
      <c r="AC470" s="105"/>
      <c r="AD470" s="105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105"/>
      <c r="AB471" s="105"/>
      <c r="AC471" s="105"/>
      <c r="AD471" s="105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105"/>
      <c r="AB472" s="105"/>
      <c r="AC472" s="105"/>
      <c r="AD472" s="105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105"/>
      <c r="AB473" s="105"/>
      <c r="AC473" s="105"/>
      <c r="AD473" s="105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105"/>
      <c r="AB474" s="105"/>
      <c r="AC474" s="105"/>
      <c r="AD474" s="105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105"/>
      <c r="AB475" s="105"/>
      <c r="AC475" s="105"/>
      <c r="AD475" s="105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105"/>
      <c r="AB476" s="105"/>
      <c r="AC476" s="105"/>
      <c r="AD476" s="105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105"/>
      <c r="AB477" s="105"/>
      <c r="AC477" s="105"/>
      <c r="AD477" s="105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105"/>
      <c r="AB478" s="105"/>
      <c r="AC478" s="105"/>
      <c r="AD478" s="105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105"/>
      <c r="AB479" s="105"/>
      <c r="AC479" s="105"/>
      <c r="AD479" s="105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105"/>
      <c r="AB480" s="105"/>
      <c r="AC480" s="105"/>
      <c r="AD480" s="105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105"/>
      <c r="AB481" s="105"/>
      <c r="AC481" s="105"/>
      <c r="AD481" s="105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105"/>
      <c r="AB482" s="105"/>
      <c r="AC482" s="105"/>
      <c r="AD482" s="105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105"/>
      <c r="AB483" s="105"/>
      <c r="AC483" s="105"/>
      <c r="AD483" s="105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105"/>
      <c r="AB484" s="105"/>
      <c r="AC484" s="105"/>
      <c r="AD484" s="105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105"/>
      <c r="AB485" s="105"/>
      <c r="AC485" s="105"/>
      <c r="AD485" s="105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105"/>
      <c r="AB486" s="105"/>
      <c r="AC486" s="105"/>
      <c r="AD486" s="105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105"/>
      <c r="AB487" s="105"/>
      <c r="AC487" s="105"/>
      <c r="AD487" s="105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105"/>
      <c r="AB488" s="105"/>
      <c r="AC488" s="105"/>
      <c r="AD488" s="105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105"/>
      <c r="AB489" s="105"/>
      <c r="AC489" s="105"/>
      <c r="AD489" s="105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105"/>
      <c r="AB490" s="105"/>
      <c r="AC490" s="105"/>
      <c r="AD490" s="105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105"/>
      <c r="AB491" s="105"/>
      <c r="AC491" s="105"/>
      <c r="AD491" s="105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105"/>
      <c r="AB492" s="105"/>
      <c r="AC492" s="105"/>
      <c r="AD492" s="105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105"/>
      <c r="AB493" s="105"/>
      <c r="AC493" s="105"/>
      <c r="AD493" s="105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105"/>
      <c r="AB494" s="105"/>
      <c r="AC494" s="105"/>
      <c r="AD494" s="105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105"/>
      <c r="AB495" s="105"/>
      <c r="AC495" s="105"/>
      <c r="AD495" s="105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105"/>
      <c r="AB496" s="105"/>
      <c r="AC496" s="105"/>
      <c r="AD496" s="105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105"/>
      <c r="AB497" s="105"/>
      <c r="AC497" s="105"/>
      <c r="AD497" s="105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105"/>
      <c r="AB498" s="105"/>
      <c r="AC498" s="105"/>
      <c r="AD498" s="105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105"/>
      <c r="AB499" s="105"/>
      <c r="AC499" s="105"/>
      <c r="AD499" s="105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105"/>
      <c r="AB500" s="105"/>
      <c r="AC500" s="105"/>
      <c r="AD500" s="105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105"/>
      <c r="AB501" s="105"/>
      <c r="AC501" s="105"/>
      <c r="AD501" s="105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105"/>
      <c r="AB502" s="105"/>
      <c r="AC502" s="105"/>
      <c r="AD502" s="105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105"/>
      <c r="AB503" s="105"/>
      <c r="AC503" s="105"/>
      <c r="AD503" s="105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105"/>
      <c r="AB504" s="105"/>
      <c r="AC504" s="105"/>
      <c r="AD504" s="105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105"/>
      <c r="AB505" s="105"/>
      <c r="AC505" s="105"/>
      <c r="AD505" s="105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105"/>
      <c r="AB506" s="105"/>
      <c r="AC506" s="105"/>
      <c r="AD506" s="105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105"/>
      <c r="AB507" s="105"/>
      <c r="AC507" s="105"/>
      <c r="AD507" s="105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105"/>
      <c r="AB508" s="105"/>
      <c r="AC508" s="105"/>
      <c r="AD508" s="105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105"/>
      <c r="AB509" s="105"/>
      <c r="AC509" s="105"/>
      <c r="AD509" s="105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105"/>
      <c r="AB510" s="105"/>
      <c r="AC510" s="105"/>
      <c r="AD510" s="105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105"/>
      <c r="AB511" s="105"/>
      <c r="AC511" s="105"/>
      <c r="AD511" s="105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105"/>
      <c r="AB512" s="105"/>
      <c r="AC512" s="105"/>
      <c r="AD512" s="105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105"/>
      <c r="AB513" s="105"/>
      <c r="AC513" s="105"/>
      <c r="AD513" s="105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105"/>
      <c r="AB514" s="105"/>
      <c r="AC514" s="105"/>
      <c r="AD514" s="105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105"/>
      <c r="AB515" s="105"/>
      <c r="AC515" s="105"/>
      <c r="AD515" s="105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105"/>
      <c r="AB516" s="105"/>
      <c r="AC516" s="105"/>
      <c r="AD516" s="105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105"/>
      <c r="AB517" s="105"/>
      <c r="AC517" s="105"/>
      <c r="AD517" s="105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105"/>
      <c r="AB518" s="105"/>
      <c r="AC518" s="105"/>
      <c r="AD518" s="105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105"/>
      <c r="AB519" s="105"/>
      <c r="AC519" s="105"/>
      <c r="AD519" s="105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105"/>
      <c r="AB520" s="105"/>
      <c r="AC520" s="105"/>
      <c r="AD520" s="105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105"/>
      <c r="AB521" s="105"/>
      <c r="AC521" s="105"/>
      <c r="AD521" s="105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105"/>
      <c r="AB522" s="105"/>
      <c r="AC522" s="105"/>
      <c r="AD522" s="105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105"/>
      <c r="AB523" s="105"/>
      <c r="AC523" s="105"/>
      <c r="AD523" s="105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105"/>
      <c r="AB524" s="105"/>
      <c r="AC524" s="105"/>
      <c r="AD524" s="105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105"/>
      <c r="AB525" s="105"/>
      <c r="AC525" s="105"/>
      <c r="AD525" s="105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105"/>
      <c r="AB526" s="105"/>
      <c r="AC526" s="105"/>
      <c r="AD526" s="105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105"/>
      <c r="AB527" s="105"/>
      <c r="AC527" s="105"/>
      <c r="AD527" s="105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105"/>
      <c r="AB528" s="105"/>
      <c r="AC528" s="105"/>
      <c r="AD528" s="105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105"/>
      <c r="AB529" s="105"/>
      <c r="AC529" s="105"/>
      <c r="AD529" s="105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105"/>
      <c r="AB530" s="105"/>
      <c r="AC530" s="105"/>
      <c r="AD530" s="105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105"/>
      <c r="AB531" s="105"/>
      <c r="AC531" s="105"/>
      <c r="AD531" s="105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105"/>
      <c r="AB532" s="105"/>
      <c r="AC532" s="105"/>
      <c r="AD532" s="105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105"/>
      <c r="AB533" s="105"/>
      <c r="AC533" s="105"/>
      <c r="AD533" s="105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105"/>
      <c r="AB534" s="105"/>
      <c r="AC534" s="105"/>
      <c r="AD534" s="105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105"/>
      <c r="AB535" s="105"/>
      <c r="AC535" s="105"/>
      <c r="AD535" s="105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105"/>
      <c r="AB536" s="105"/>
      <c r="AC536" s="105"/>
      <c r="AD536" s="105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105"/>
      <c r="AB537" s="105"/>
      <c r="AC537" s="105"/>
      <c r="AD537" s="105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105"/>
      <c r="AB538" s="105"/>
      <c r="AC538" s="105"/>
      <c r="AD538" s="105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105"/>
      <c r="AB539" s="105"/>
      <c r="AC539" s="105"/>
      <c r="AD539" s="105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105"/>
      <c r="AB540" s="105"/>
      <c r="AC540" s="105"/>
      <c r="AD540" s="105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105"/>
      <c r="AB541" s="105"/>
      <c r="AC541" s="105"/>
      <c r="AD541" s="105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105"/>
      <c r="AB542" s="105"/>
      <c r="AC542" s="105"/>
      <c r="AD542" s="105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105"/>
      <c r="AB543" s="105"/>
      <c r="AC543" s="105"/>
      <c r="AD543" s="105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105"/>
      <c r="AB544" s="105"/>
      <c r="AC544" s="105"/>
      <c r="AD544" s="105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105"/>
      <c r="AB545" s="105"/>
      <c r="AC545" s="105"/>
      <c r="AD545" s="105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105"/>
      <c r="AB546" s="105"/>
      <c r="AC546" s="105"/>
      <c r="AD546" s="105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105"/>
      <c r="AB547" s="105"/>
      <c r="AC547" s="105"/>
      <c r="AD547" s="105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105"/>
      <c r="AB548" s="105"/>
      <c r="AC548" s="105"/>
      <c r="AD548" s="105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105"/>
      <c r="AB549" s="105"/>
      <c r="AC549" s="105"/>
      <c r="AD549" s="105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105"/>
      <c r="AB550" s="105"/>
      <c r="AC550" s="105"/>
      <c r="AD550" s="105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105"/>
      <c r="AB551" s="105"/>
      <c r="AC551" s="105"/>
      <c r="AD551" s="105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105"/>
      <c r="AB552" s="105"/>
      <c r="AC552" s="105"/>
      <c r="AD552" s="105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105"/>
      <c r="AB553" s="105"/>
      <c r="AC553" s="105"/>
      <c r="AD553" s="105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105"/>
      <c r="AB554" s="105"/>
      <c r="AC554" s="105"/>
      <c r="AD554" s="105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105"/>
      <c r="AB555" s="105"/>
      <c r="AC555" s="105"/>
      <c r="AD555" s="105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105"/>
      <c r="AB556" s="105"/>
      <c r="AC556" s="105"/>
      <c r="AD556" s="105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105"/>
      <c r="AB557" s="105"/>
      <c r="AC557" s="105"/>
      <c r="AD557" s="105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105"/>
      <c r="AB558" s="105"/>
      <c r="AC558" s="105"/>
      <c r="AD558" s="105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105"/>
      <c r="AB559" s="105"/>
      <c r="AC559" s="105"/>
      <c r="AD559" s="105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105"/>
      <c r="AB560" s="105"/>
      <c r="AC560" s="105"/>
      <c r="AD560" s="105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105"/>
      <c r="AB561" s="105"/>
      <c r="AC561" s="105"/>
      <c r="AD561" s="105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105"/>
      <c r="AB562" s="105"/>
      <c r="AC562" s="105"/>
      <c r="AD562" s="105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105"/>
      <c r="AB563" s="105"/>
      <c r="AC563" s="105"/>
      <c r="AD563" s="105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105"/>
      <c r="AB564" s="105"/>
      <c r="AC564" s="105"/>
      <c r="AD564" s="105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105"/>
      <c r="AB565" s="105"/>
      <c r="AC565" s="105"/>
      <c r="AD565" s="105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105"/>
      <c r="AB566" s="105"/>
      <c r="AC566" s="105"/>
      <c r="AD566" s="105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105"/>
      <c r="AB567" s="105"/>
      <c r="AC567" s="105"/>
      <c r="AD567" s="105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105"/>
      <c r="AB568" s="105"/>
      <c r="AC568" s="105"/>
      <c r="AD568" s="105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105"/>
      <c r="AB569" s="105"/>
      <c r="AC569" s="105"/>
      <c r="AD569" s="105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105"/>
      <c r="AB570" s="105"/>
      <c r="AC570" s="105"/>
      <c r="AD570" s="105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105"/>
      <c r="AB571" s="105"/>
      <c r="AC571" s="105"/>
      <c r="AD571" s="105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105"/>
      <c r="AB572" s="105"/>
      <c r="AC572" s="105"/>
      <c r="AD572" s="105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105"/>
      <c r="AB573" s="105"/>
      <c r="AC573" s="105"/>
      <c r="AD573" s="105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105"/>
      <c r="AB574" s="105"/>
      <c r="AC574" s="105"/>
      <c r="AD574" s="105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105"/>
      <c r="AB575" s="105"/>
      <c r="AC575" s="105"/>
      <c r="AD575" s="105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105"/>
      <c r="AB576" s="105"/>
      <c r="AC576" s="105"/>
      <c r="AD576" s="105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105"/>
      <c r="AB577" s="105"/>
      <c r="AC577" s="105"/>
      <c r="AD577" s="105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105"/>
      <c r="AB578" s="105"/>
      <c r="AC578" s="105"/>
      <c r="AD578" s="105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105"/>
      <c r="AB579" s="105"/>
      <c r="AC579" s="105"/>
      <c r="AD579" s="105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105"/>
      <c r="AB580" s="105"/>
      <c r="AC580" s="105"/>
      <c r="AD580" s="105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105"/>
      <c r="AB581" s="105"/>
      <c r="AC581" s="105"/>
      <c r="AD581" s="105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105"/>
      <c r="AB582" s="105"/>
      <c r="AC582" s="105"/>
      <c r="AD582" s="105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105"/>
      <c r="AB583" s="105"/>
      <c r="AC583" s="105"/>
      <c r="AD583" s="105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105"/>
      <c r="AB584" s="105"/>
      <c r="AC584" s="105"/>
      <c r="AD584" s="105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105"/>
      <c r="AB585" s="105"/>
      <c r="AC585" s="105"/>
      <c r="AD585" s="105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105"/>
      <c r="AB586" s="105"/>
      <c r="AC586" s="105"/>
      <c r="AD586" s="105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105"/>
      <c r="AB587" s="105"/>
      <c r="AC587" s="105"/>
      <c r="AD587" s="105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105"/>
      <c r="AB588" s="105"/>
      <c r="AC588" s="105"/>
      <c r="AD588" s="105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105"/>
      <c r="AB589" s="105"/>
      <c r="AC589" s="105"/>
      <c r="AD589" s="105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105"/>
      <c r="AB590" s="105"/>
      <c r="AC590" s="105"/>
      <c r="AD590" s="105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105"/>
      <c r="AB591" s="105"/>
      <c r="AC591" s="105"/>
      <c r="AD591" s="105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105"/>
      <c r="AB592" s="105"/>
      <c r="AC592" s="105"/>
      <c r="AD592" s="105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105"/>
      <c r="AB593" s="105"/>
      <c r="AC593" s="105"/>
      <c r="AD593" s="105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105"/>
      <c r="AB594" s="105"/>
      <c r="AC594" s="105"/>
      <c r="AD594" s="105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105"/>
      <c r="AB595" s="105"/>
      <c r="AC595" s="105"/>
      <c r="AD595" s="105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105"/>
      <c r="AB596" s="105"/>
      <c r="AC596" s="105"/>
      <c r="AD596" s="105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105"/>
      <c r="AB597" s="105"/>
      <c r="AC597" s="105"/>
      <c r="AD597" s="105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105"/>
      <c r="AB598" s="105"/>
      <c r="AC598" s="105"/>
      <c r="AD598" s="105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105"/>
      <c r="AB599" s="105"/>
      <c r="AC599" s="105"/>
      <c r="AD599" s="105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105"/>
      <c r="AB600" s="105"/>
      <c r="AC600" s="105"/>
      <c r="AD600" s="105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105"/>
      <c r="AB601" s="105"/>
      <c r="AC601" s="105"/>
      <c r="AD601" s="105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105"/>
      <c r="AB602" s="105"/>
      <c r="AC602" s="105"/>
      <c r="AD602" s="105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105"/>
      <c r="AB603" s="105"/>
      <c r="AC603" s="105"/>
      <c r="AD603" s="105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105"/>
      <c r="AB604" s="105"/>
      <c r="AC604" s="105"/>
      <c r="AD604" s="105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105"/>
      <c r="AB605" s="105"/>
      <c r="AC605" s="105"/>
      <c r="AD605" s="105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105"/>
      <c r="AB606" s="105"/>
      <c r="AC606" s="105"/>
      <c r="AD606" s="105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105"/>
      <c r="AB607" s="105"/>
      <c r="AC607" s="105"/>
      <c r="AD607" s="105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105"/>
      <c r="AB608" s="105"/>
      <c r="AC608" s="105"/>
      <c r="AD608" s="105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105"/>
      <c r="AB609" s="105"/>
      <c r="AC609" s="105"/>
      <c r="AD609" s="105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105"/>
      <c r="AB610" s="105"/>
      <c r="AC610" s="105"/>
      <c r="AD610" s="105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105"/>
      <c r="AB611" s="105"/>
      <c r="AC611" s="105"/>
      <c r="AD611" s="105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105"/>
      <c r="AB612" s="105"/>
      <c r="AC612" s="105"/>
      <c r="AD612" s="105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105"/>
      <c r="AB613" s="105"/>
      <c r="AC613" s="105"/>
      <c r="AD613" s="105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105"/>
      <c r="AB614" s="105"/>
      <c r="AC614" s="105"/>
      <c r="AD614" s="105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105"/>
      <c r="AB615" s="105"/>
      <c r="AC615" s="105"/>
      <c r="AD615" s="105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105"/>
      <c r="AB616" s="105"/>
      <c r="AC616" s="105"/>
      <c r="AD616" s="105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105"/>
      <c r="AB617" s="105"/>
      <c r="AC617" s="105"/>
      <c r="AD617" s="105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105"/>
      <c r="AB618" s="105"/>
      <c r="AC618" s="105"/>
      <c r="AD618" s="105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105"/>
      <c r="AB619" s="105"/>
      <c r="AC619" s="105"/>
      <c r="AD619" s="105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105"/>
      <c r="AB620" s="105"/>
      <c r="AC620" s="105"/>
      <c r="AD620" s="105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105"/>
      <c r="AB621" s="105"/>
      <c r="AC621" s="105"/>
      <c r="AD621" s="105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105"/>
      <c r="AB622" s="105"/>
      <c r="AC622" s="105"/>
      <c r="AD622" s="105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105"/>
      <c r="AB623" s="105"/>
      <c r="AC623" s="105"/>
      <c r="AD623" s="105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105"/>
      <c r="AB624" s="105"/>
      <c r="AC624" s="105"/>
      <c r="AD624" s="105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105"/>
      <c r="AB625" s="105"/>
      <c r="AC625" s="105"/>
      <c r="AD625" s="105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105"/>
      <c r="AB626" s="105"/>
      <c r="AC626" s="105"/>
      <c r="AD626" s="105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105"/>
      <c r="AB627" s="105"/>
      <c r="AC627" s="105"/>
      <c r="AD627" s="105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105"/>
      <c r="AB628" s="105"/>
      <c r="AC628" s="105"/>
      <c r="AD628" s="105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105"/>
      <c r="AB629" s="105"/>
      <c r="AC629" s="105"/>
      <c r="AD629" s="105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105"/>
      <c r="AB630" s="105"/>
      <c r="AC630" s="105"/>
      <c r="AD630" s="105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105"/>
      <c r="AB631" s="105"/>
      <c r="AC631" s="105"/>
      <c r="AD631" s="105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105"/>
      <c r="AB632" s="105"/>
      <c r="AC632" s="105"/>
      <c r="AD632" s="105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105"/>
      <c r="AB633" s="105"/>
      <c r="AC633" s="105"/>
      <c r="AD633" s="105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105"/>
      <c r="AB634" s="105"/>
      <c r="AC634" s="105"/>
      <c r="AD634" s="105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105"/>
      <c r="AB635" s="105"/>
      <c r="AC635" s="105"/>
      <c r="AD635" s="105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105"/>
      <c r="AB636" s="105"/>
      <c r="AC636" s="105"/>
      <c r="AD636" s="105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105"/>
      <c r="AB637" s="105"/>
      <c r="AC637" s="105"/>
      <c r="AD637" s="105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105"/>
      <c r="AB638" s="105"/>
      <c r="AC638" s="105"/>
      <c r="AD638" s="105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105"/>
      <c r="AB639" s="105"/>
      <c r="AC639" s="105"/>
      <c r="AD639" s="105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105"/>
      <c r="AB640" s="105"/>
      <c r="AC640" s="105"/>
      <c r="AD640" s="105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105"/>
      <c r="AB641" s="105"/>
      <c r="AC641" s="105"/>
      <c r="AD641" s="105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105"/>
      <c r="AB642" s="105"/>
      <c r="AC642" s="105"/>
      <c r="AD642" s="105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105"/>
      <c r="AB643" s="105"/>
      <c r="AC643" s="105"/>
      <c r="AD643" s="105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105"/>
      <c r="AB644" s="105"/>
      <c r="AC644" s="105"/>
      <c r="AD644" s="105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105"/>
      <c r="AB645" s="105"/>
      <c r="AC645" s="105"/>
      <c r="AD645" s="105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105"/>
      <c r="AB646" s="105"/>
      <c r="AC646" s="105"/>
      <c r="AD646" s="105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105"/>
      <c r="AB647" s="105"/>
      <c r="AC647" s="105"/>
      <c r="AD647" s="105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105"/>
      <c r="AB648" s="105"/>
      <c r="AC648" s="105"/>
      <c r="AD648" s="105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105"/>
      <c r="AB649" s="105"/>
      <c r="AC649" s="105"/>
      <c r="AD649" s="105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105"/>
      <c r="AB650" s="105"/>
      <c r="AC650" s="105"/>
      <c r="AD650" s="105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105"/>
      <c r="AB651" s="105"/>
      <c r="AC651" s="105"/>
      <c r="AD651" s="105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105"/>
      <c r="AB652" s="105"/>
      <c r="AC652" s="105"/>
      <c r="AD652" s="105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105"/>
      <c r="AB653" s="105"/>
      <c r="AC653" s="105"/>
      <c r="AD653" s="105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105"/>
      <c r="AB654" s="105"/>
      <c r="AC654" s="105"/>
      <c r="AD654" s="105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105"/>
      <c r="AB655" s="105"/>
      <c r="AC655" s="105"/>
      <c r="AD655" s="105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105"/>
      <c r="AB656" s="105"/>
      <c r="AC656" s="105"/>
      <c r="AD656" s="105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105"/>
      <c r="AB657" s="105"/>
      <c r="AC657" s="105"/>
      <c r="AD657" s="105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105"/>
      <c r="AB658" s="105"/>
      <c r="AC658" s="105"/>
      <c r="AD658" s="105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105"/>
      <c r="AB659" s="105"/>
      <c r="AC659" s="105"/>
      <c r="AD659" s="105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105"/>
      <c r="AB660" s="105"/>
      <c r="AC660" s="105"/>
      <c r="AD660" s="105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105"/>
      <c r="AB661" s="105"/>
      <c r="AC661" s="105"/>
      <c r="AD661" s="105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105"/>
      <c r="AB662" s="105"/>
      <c r="AC662" s="105"/>
      <c r="AD662" s="105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105"/>
      <c r="AB663" s="105"/>
      <c r="AC663" s="105"/>
      <c r="AD663" s="105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105"/>
      <c r="AB664" s="105"/>
      <c r="AC664" s="105"/>
      <c r="AD664" s="105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105"/>
      <c r="AB665" s="105"/>
      <c r="AC665" s="105"/>
      <c r="AD665" s="105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105"/>
      <c r="AB666" s="105"/>
      <c r="AC666" s="105"/>
      <c r="AD666" s="105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105"/>
      <c r="AB667" s="105"/>
      <c r="AC667" s="105"/>
      <c r="AD667" s="105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105"/>
      <c r="AB668" s="105"/>
      <c r="AC668" s="105"/>
      <c r="AD668" s="105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105"/>
      <c r="AB669" s="105"/>
      <c r="AC669" s="105"/>
      <c r="AD669" s="105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105"/>
      <c r="AB670" s="105"/>
      <c r="AC670" s="105"/>
      <c r="AD670" s="105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105"/>
      <c r="AB671" s="105"/>
      <c r="AC671" s="105"/>
      <c r="AD671" s="105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105"/>
      <c r="AB672" s="105"/>
      <c r="AC672" s="105"/>
      <c r="AD672" s="105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105"/>
      <c r="AB673" s="105"/>
      <c r="AC673" s="105"/>
      <c r="AD673" s="105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105"/>
      <c r="AB674" s="105"/>
      <c r="AC674" s="105"/>
      <c r="AD674" s="105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105"/>
      <c r="AB675" s="105"/>
      <c r="AC675" s="105"/>
      <c r="AD675" s="105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105"/>
      <c r="AB676" s="105"/>
      <c r="AC676" s="105"/>
      <c r="AD676" s="105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105"/>
      <c r="AB677" s="105"/>
      <c r="AC677" s="105"/>
      <c r="AD677" s="105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105"/>
      <c r="AB678" s="105"/>
      <c r="AC678" s="105"/>
      <c r="AD678" s="105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105"/>
      <c r="AB679" s="105"/>
      <c r="AC679" s="105"/>
      <c r="AD679" s="105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105"/>
      <c r="AB680" s="105"/>
      <c r="AC680" s="105"/>
      <c r="AD680" s="105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105"/>
      <c r="AB681" s="105"/>
      <c r="AC681" s="105"/>
      <c r="AD681" s="105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105"/>
      <c r="AB682" s="105"/>
      <c r="AC682" s="105"/>
      <c r="AD682" s="105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105"/>
      <c r="AB683" s="105"/>
      <c r="AC683" s="105"/>
      <c r="AD683" s="105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105"/>
      <c r="AB684" s="105"/>
      <c r="AC684" s="105"/>
      <c r="AD684" s="105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105"/>
      <c r="AB685" s="105"/>
      <c r="AC685" s="105"/>
      <c r="AD685" s="105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105"/>
      <c r="AB686" s="105"/>
      <c r="AC686" s="105"/>
      <c r="AD686" s="105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105"/>
      <c r="AB687" s="105"/>
      <c r="AC687" s="105"/>
      <c r="AD687" s="105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105"/>
      <c r="AB688" s="105"/>
      <c r="AC688" s="105"/>
      <c r="AD688" s="105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105"/>
      <c r="AB689" s="105"/>
      <c r="AC689" s="105"/>
      <c r="AD689" s="105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105"/>
      <c r="AB690" s="105"/>
      <c r="AC690" s="105"/>
      <c r="AD690" s="105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105"/>
      <c r="AB691" s="105"/>
      <c r="AC691" s="105"/>
      <c r="AD691" s="105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105"/>
      <c r="AB692" s="105"/>
      <c r="AC692" s="105"/>
      <c r="AD692" s="105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105"/>
      <c r="AB693" s="105"/>
      <c r="AC693" s="105"/>
      <c r="AD693" s="105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105"/>
      <c r="AB694" s="105"/>
      <c r="AC694" s="105"/>
      <c r="AD694" s="105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105"/>
      <c r="AB695" s="105"/>
      <c r="AC695" s="105"/>
      <c r="AD695" s="105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105"/>
      <c r="AB696" s="105"/>
      <c r="AC696" s="105"/>
      <c r="AD696" s="105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105"/>
      <c r="AB697" s="105"/>
      <c r="AC697" s="105"/>
      <c r="AD697" s="105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105"/>
      <c r="AB698" s="105"/>
      <c r="AC698" s="105"/>
      <c r="AD698" s="105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105"/>
      <c r="AB699" s="105"/>
      <c r="AC699" s="105"/>
      <c r="AD699" s="105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105"/>
      <c r="AB700" s="105"/>
      <c r="AC700" s="105"/>
      <c r="AD700" s="105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105"/>
      <c r="AB701" s="105"/>
      <c r="AC701" s="105"/>
      <c r="AD701" s="105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105"/>
      <c r="AB702" s="105"/>
      <c r="AC702" s="105"/>
      <c r="AD702" s="105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105"/>
      <c r="AB703" s="105"/>
      <c r="AC703" s="105"/>
      <c r="AD703" s="105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105"/>
      <c r="AB704" s="105"/>
      <c r="AC704" s="105"/>
      <c r="AD704" s="105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105"/>
      <c r="AB705" s="105"/>
      <c r="AC705" s="105"/>
      <c r="AD705" s="105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105"/>
      <c r="AB706" s="105"/>
      <c r="AC706" s="105"/>
      <c r="AD706" s="105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105"/>
      <c r="AB707" s="105"/>
      <c r="AC707" s="105"/>
      <c r="AD707" s="105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105"/>
      <c r="AB708" s="105"/>
      <c r="AC708" s="105"/>
      <c r="AD708" s="105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105"/>
      <c r="AB709" s="105"/>
      <c r="AC709" s="105"/>
      <c r="AD709" s="105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105"/>
      <c r="AB710" s="105"/>
      <c r="AC710" s="105"/>
      <c r="AD710" s="105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105"/>
      <c r="AB711" s="105"/>
      <c r="AC711" s="105"/>
      <c r="AD711" s="105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105"/>
      <c r="AB712" s="105"/>
      <c r="AC712" s="105"/>
      <c r="AD712" s="105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105"/>
      <c r="AB713" s="105"/>
      <c r="AC713" s="105"/>
      <c r="AD713" s="105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105"/>
      <c r="AB714" s="105"/>
      <c r="AC714" s="105"/>
      <c r="AD714" s="105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105"/>
      <c r="AB715" s="105"/>
      <c r="AC715" s="105"/>
      <c r="AD715" s="105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105"/>
      <c r="AB716" s="105"/>
      <c r="AC716" s="105"/>
      <c r="AD716" s="105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105"/>
      <c r="AB717" s="105"/>
      <c r="AC717" s="105"/>
      <c r="AD717" s="105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105"/>
      <c r="AB718" s="105"/>
      <c r="AC718" s="105"/>
      <c r="AD718" s="105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105"/>
      <c r="AB719" s="105"/>
      <c r="AC719" s="105"/>
      <c r="AD719" s="105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105"/>
      <c r="AB720" s="105"/>
      <c r="AC720" s="105"/>
      <c r="AD720" s="105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105"/>
      <c r="AB721" s="105"/>
      <c r="AC721" s="105"/>
      <c r="AD721" s="105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105"/>
      <c r="AB722" s="105"/>
      <c r="AC722" s="105"/>
      <c r="AD722" s="105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105"/>
      <c r="AB723" s="105"/>
      <c r="AC723" s="105"/>
      <c r="AD723" s="105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105"/>
      <c r="AB724" s="105"/>
      <c r="AC724" s="105"/>
      <c r="AD724" s="105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105"/>
      <c r="AB725" s="105"/>
      <c r="AC725" s="105"/>
      <c r="AD725" s="105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105"/>
      <c r="AB726" s="105"/>
      <c r="AC726" s="105"/>
      <c r="AD726" s="105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105"/>
      <c r="AB727" s="105"/>
      <c r="AC727" s="105"/>
      <c r="AD727" s="105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105"/>
      <c r="AB728" s="105"/>
      <c r="AC728" s="105"/>
      <c r="AD728" s="105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105"/>
      <c r="AB729" s="105"/>
      <c r="AC729" s="105"/>
      <c r="AD729" s="105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105"/>
      <c r="AB730" s="105"/>
      <c r="AC730" s="105"/>
      <c r="AD730" s="105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105"/>
      <c r="AB731" s="105"/>
      <c r="AC731" s="105"/>
      <c r="AD731" s="105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105"/>
      <c r="AB732" s="105"/>
      <c r="AC732" s="105"/>
      <c r="AD732" s="105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105"/>
      <c r="AB733" s="105"/>
      <c r="AC733" s="105"/>
      <c r="AD733" s="105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105"/>
      <c r="AB734" s="105"/>
      <c r="AC734" s="105"/>
      <c r="AD734" s="105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105"/>
      <c r="AB735" s="105"/>
      <c r="AC735" s="105"/>
      <c r="AD735" s="105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105"/>
      <c r="AB736" s="105"/>
      <c r="AC736" s="105"/>
      <c r="AD736" s="105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105"/>
      <c r="AB737" s="105"/>
      <c r="AC737" s="105"/>
      <c r="AD737" s="105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105"/>
      <c r="AB738" s="105"/>
      <c r="AC738" s="105"/>
      <c r="AD738" s="105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105"/>
      <c r="AB739" s="105"/>
      <c r="AC739" s="105"/>
      <c r="AD739" s="105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105"/>
      <c r="AB740" s="105"/>
      <c r="AC740" s="105"/>
      <c r="AD740" s="105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105"/>
      <c r="AB741" s="105"/>
      <c r="AC741" s="105"/>
      <c r="AD741" s="105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105"/>
      <c r="AB742" s="105"/>
      <c r="AC742" s="105"/>
      <c r="AD742" s="105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105"/>
      <c r="AB743" s="105"/>
      <c r="AC743" s="105"/>
      <c r="AD743" s="105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105"/>
      <c r="AB744" s="105"/>
      <c r="AC744" s="105"/>
      <c r="AD744" s="105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105"/>
      <c r="AB745" s="105"/>
      <c r="AC745" s="105"/>
      <c r="AD745" s="105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105"/>
      <c r="AB746" s="105"/>
      <c r="AC746" s="105"/>
      <c r="AD746" s="105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105"/>
      <c r="AB747" s="105"/>
      <c r="AC747" s="105"/>
      <c r="AD747" s="105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105"/>
      <c r="AB748" s="105"/>
      <c r="AC748" s="105"/>
      <c r="AD748" s="105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105"/>
      <c r="AB749" s="105"/>
      <c r="AC749" s="105"/>
      <c r="AD749" s="105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105"/>
      <c r="AB750" s="105"/>
      <c r="AC750" s="105"/>
      <c r="AD750" s="105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105"/>
      <c r="AB751" s="105"/>
      <c r="AC751" s="105"/>
      <c r="AD751" s="105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105"/>
      <c r="AB752" s="105"/>
      <c r="AC752" s="105"/>
      <c r="AD752" s="105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105"/>
      <c r="AB753" s="105"/>
      <c r="AC753" s="105"/>
      <c r="AD753" s="105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105"/>
      <c r="AB754" s="105"/>
      <c r="AC754" s="105"/>
      <c r="AD754" s="105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105"/>
      <c r="AB755" s="105"/>
      <c r="AC755" s="105"/>
      <c r="AD755" s="105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105"/>
      <c r="AB756" s="105"/>
      <c r="AC756" s="105"/>
      <c r="AD756" s="105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105"/>
      <c r="AB757" s="105"/>
      <c r="AC757" s="105"/>
      <c r="AD757" s="105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105"/>
      <c r="AB758" s="105"/>
      <c r="AC758" s="105"/>
      <c r="AD758" s="105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105"/>
      <c r="AB759" s="105"/>
      <c r="AC759" s="105"/>
      <c r="AD759" s="105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105"/>
      <c r="AB760" s="105"/>
      <c r="AC760" s="105"/>
      <c r="AD760" s="105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105"/>
      <c r="AB761" s="105"/>
      <c r="AC761" s="105"/>
      <c r="AD761" s="105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105"/>
      <c r="AB762" s="105"/>
      <c r="AC762" s="105"/>
      <c r="AD762" s="105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105"/>
      <c r="AB763" s="105"/>
      <c r="AC763" s="105"/>
      <c r="AD763" s="105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105"/>
      <c r="AB764" s="105"/>
      <c r="AC764" s="105"/>
      <c r="AD764" s="105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105"/>
      <c r="AB765" s="105"/>
      <c r="AC765" s="105"/>
      <c r="AD765" s="105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105"/>
      <c r="AB766" s="105"/>
      <c r="AC766" s="105"/>
      <c r="AD766" s="105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105"/>
      <c r="AB767" s="105"/>
      <c r="AC767" s="105"/>
      <c r="AD767" s="105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105"/>
      <c r="AB768" s="105"/>
      <c r="AC768" s="105"/>
      <c r="AD768" s="105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105"/>
      <c r="AB769" s="105"/>
      <c r="AC769" s="105"/>
      <c r="AD769" s="105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105"/>
      <c r="AB770" s="105"/>
      <c r="AC770" s="105"/>
      <c r="AD770" s="105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105"/>
      <c r="AB771" s="105"/>
      <c r="AC771" s="105"/>
      <c r="AD771" s="105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105"/>
      <c r="AB772" s="105"/>
      <c r="AC772" s="105"/>
      <c r="AD772" s="105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105"/>
      <c r="AB773" s="105"/>
      <c r="AC773" s="105"/>
      <c r="AD773" s="105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105"/>
      <c r="AB774" s="105"/>
      <c r="AC774" s="105"/>
      <c r="AD774" s="105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105"/>
      <c r="AB775" s="105"/>
      <c r="AC775" s="105"/>
      <c r="AD775" s="105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105"/>
      <c r="AB776" s="105"/>
      <c r="AC776" s="105"/>
      <c r="AD776" s="105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105"/>
      <c r="AB777" s="105"/>
      <c r="AC777" s="105"/>
      <c r="AD777" s="105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105"/>
      <c r="AB778" s="105"/>
      <c r="AC778" s="105"/>
      <c r="AD778" s="105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105"/>
      <c r="AB779" s="105"/>
      <c r="AC779" s="105"/>
      <c r="AD779" s="105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105"/>
      <c r="AB780" s="105"/>
      <c r="AC780" s="105"/>
      <c r="AD780" s="105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105"/>
      <c r="AB781" s="105"/>
      <c r="AC781" s="105"/>
      <c r="AD781" s="105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105"/>
      <c r="AB782" s="105"/>
      <c r="AC782" s="105"/>
      <c r="AD782" s="105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105"/>
      <c r="AB783" s="105"/>
      <c r="AC783" s="105"/>
      <c r="AD783" s="105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105"/>
      <c r="AB784" s="105"/>
      <c r="AC784" s="105"/>
      <c r="AD784" s="105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105"/>
      <c r="AB785" s="105"/>
      <c r="AC785" s="105"/>
      <c r="AD785" s="105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105"/>
      <c r="AB786" s="105"/>
      <c r="AC786" s="105"/>
      <c r="AD786" s="105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105"/>
      <c r="AB787" s="105"/>
      <c r="AC787" s="105"/>
      <c r="AD787" s="105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105"/>
      <c r="AB788" s="105"/>
      <c r="AC788" s="105"/>
      <c r="AD788" s="105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105"/>
      <c r="AB789" s="105"/>
      <c r="AC789" s="105"/>
      <c r="AD789" s="105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105"/>
      <c r="AB790" s="105"/>
      <c r="AC790" s="105"/>
      <c r="AD790" s="105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105"/>
      <c r="AB791" s="105"/>
      <c r="AC791" s="105"/>
      <c r="AD791" s="105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105"/>
      <c r="AB792" s="105"/>
      <c r="AC792" s="105"/>
      <c r="AD792" s="105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105"/>
      <c r="AB793" s="105"/>
      <c r="AC793" s="105"/>
      <c r="AD793" s="105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105"/>
      <c r="AB794" s="105"/>
      <c r="AC794" s="105"/>
      <c r="AD794" s="105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105"/>
      <c r="AB795" s="105"/>
      <c r="AC795" s="105"/>
      <c r="AD795" s="105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105"/>
      <c r="AB796" s="105"/>
      <c r="AC796" s="105"/>
      <c r="AD796" s="105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105"/>
      <c r="AB797" s="105"/>
      <c r="AC797" s="105"/>
      <c r="AD797" s="105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105"/>
      <c r="AB798" s="105"/>
      <c r="AC798" s="105"/>
      <c r="AD798" s="105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105"/>
      <c r="AB799" s="105"/>
      <c r="AC799" s="105"/>
      <c r="AD799" s="105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105"/>
      <c r="AB800" s="105"/>
      <c r="AC800" s="105"/>
      <c r="AD800" s="105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105"/>
      <c r="AB801" s="105"/>
      <c r="AC801" s="105"/>
      <c r="AD801" s="105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105"/>
      <c r="AB802" s="105"/>
      <c r="AC802" s="105"/>
      <c r="AD802" s="105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105"/>
      <c r="AB803" s="105"/>
      <c r="AC803" s="105"/>
      <c r="AD803" s="105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105"/>
      <c r="AB804" s="105"/>
      <c r="AC804" s="105"/>
      <c r="AD804" s="105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105"/>
      <c r="AB805" s="105"/>
      <c r="AC805" s="105"/>
      <c r="AD805" s="105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105"/>
      <c r="AB806" s="105"/>
      <c r="AC806" s="105"/>
      <c r="AD806" s="105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105"/>
      <c r="AB807" s="105"/>
      <c r="AC807" s="105"/>
      <c r="AD807" s="105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105"/>
      <c r="AB808" s="105"/>
      <c r="AC808" s="105"/>
      <c r="AD808" s="105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105"/>
      <c r="AB809" s="105"/>
      <c r="AC809" s="105"/>
      <c r="AD809" s="105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105"/>
      <c r="AB810" s="105"/>
      <c r="AC810" s="105"/>
      <c r="AD810" s="105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105"/>
      <c r="AB811" s="105"/>
      <c r="AC811" s="105"/>
      <c r="AD811" s="105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105"/>
      <c r="AB812" s="105"/>
      <c r="AC812" s="105"/>
      <c r="AD812" s="105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105"/>
      <c r="AB813" s="105"/>
      <c r="AC813" s="105"/>
      <c r="AD813" s="105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105"/>
      <c r="AB814" s="105"/>
      <c r="AC814" s="105"/>
      <c r="AD814" s="105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105"/>
      <c r="AB815" s="105"/>
      <c r="AC815" s="105"/>
      <c r="AD815" s="105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105"/>
      <c r="AB816" s="105"/>
      <c r="AC816" s="105"/>
      <c r="AD816" s="105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105"/>
      <c r="AB817" s="105"/>
      <c r="AC817" s="105"/>
      <c r="AD817" s="105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105"/>
      <c r="AB818" s="105"/>
      <c r="AC818" s="105"/>
      <c r="AD818" s="105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105"/>
      <c r="AB819" s="105"/>
      <c r="AC819" s="105"/>
      <c r="AD819" s="105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105"/>
      <c r="AB820" s="105"/>
      <c r="AC820" s="105"/>
      <c r="AD820" s="105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105"/>
      <c r="AB821" s="105"/>
      <c r="AC821" s="105"/>
      <c r="AD821" s="105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105"/>
      <c r="AB822" s="105"/>
      <c r="AC822" s="105"/>
      <c r="AD822" s="105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105"/>
      <c r="AB823" s="105"/>
      <c r="AC823" s="105"/>
      <c r="AD823" s="105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105"/>
      <c r="AB824" s="105"/>
      <c r="AC824" s="105"/>
      <c r="AD824" s="105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105"/>
      <c r="AB825" s="105"/>
      <c r="AC825" s="105"/>
      <c r="AD825" s="105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105"/>
      <c r="AB826" s="105"/>
      <c r="AC826" s="105"/>
      <c r="AD826" s="105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105"/>
      <c r="AB827" s="105"/>
      <c r="AC827" s="105"/>
      <c r="AD827" s="105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105"/>
      <c r="AB828" s="105"/>
      <c r="AC828" s="105"/>
      <c r="AD828" s="105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105"/>
      <c r="AB829" s="105"/>
      <c r="AC829" s="105"/>
      <c r="AD829" s="105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105"/>
      <c r="AB830" s="105"/>
      <c r="AC830" s="105"/>
      <c r="AD830" s="105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105"/>
      <c r="AB831" s="105"/>
      <c r="AC831" s="105"/>
      <c r="AD831" s="105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105"/>
      <c r="AB832" s="105"/>
      <c r="AC832" s="105"/>
      <c r="AD832" s="105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105"/>
      <c r="AB833" s="105"/>
      <c r="AC833" s="105"/>
      <c r="AD833" s="105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105"/>
      <c r="AB834" s="105"/>
      <c r="AC834" s="105"/>
      <c r="AD834" s="105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105"/>
      <c r="AB835" s="105"/>
      <c r="AC835" s="105"/>
      <c r="AD835" s="105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105"/>
      <c r="AB836" s="105"/>
      <c r="AC836" s="105"/>
      <c r="AD836" s="105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105"/>
      <c r="AB837" s="105"/>
      <c r="AC837" s="105"/>
      <c r="AD837" s="105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105"/>
      <c r="AB838" s="105"/>
      <c r="AC838" s="105"/>
      <c r="AD838" s="105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105"/>
      <c r="AB839" s="105"/>
      <c r="AC839" s="105"/>
      <c r="AD839" s="105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105"/>
      <c r="AB840" s="105"/>
      <c r="AC840" s="105"/>
      <c r="AD840" s="105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105"/>
      <c r="AB841" s="105"/>
      <c r="AC841" s="105"/>
      <c r="AD841" s="105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105"/>
      <c r="AB842" s="105"/>
      <c r="AC842" s="105"/>
      <c r="AD842" s="105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105"/>
      <c r="AB843" s="105"/>
      <c r="AC843" s="105"/>
      <c r="AD843" s="105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105"/>
      <c r="AB844" s="105"/>
      <c r="AC844" s="105"/>
      <c r="AD844" s="105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105"/>
      <c r="AB845" s="105"/>
      <c r="AC845" s="105"/>
      <c r="AD845" s="105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105"/>
      <c r="AB846" s="105"/>
      <c r="AC846" s="105"/>
      <c r="AD846" s="105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105"/>
      <c r="AB847" s="105"/>
      <c r="AC847" s="105"/>
      <c r="AD847" s="105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105"/>
      <c r="AB848" s="105"/>
      <c r="AC848" s="105"/>
      <c r="AD848" s="105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105"/>
      <c r="AB849" s="105"/>
      <c r="AC849" s="105"/>
      <c r="AD849" s="105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105"/>
      <c r="AB850" s="105"/>
      <c r="AC850" s="105"/>
      <c r="AD850" s="105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105"/>
      <c r="AB851" s="105"/>
      <c r="AC851" s="105"/>
      <c r="AD851" s="105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105"/>
      <c r="AB852" s="105"/>
      <c r="AC852" s="105"/>
      <c r="AD852" s="105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105"/>
      <c r="AB853" s="105"/>
      <c r="AC853" s="105"/>
      <c r="AD853" s="105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105"/>
      <c r="AB854" s="105"/>
      <c r="AC854" s="105"/>
      <c r="AD854" s="105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105"/>
      <c r="AB855" s="105"/>
      <c r="AC855" s="105"/>
      <c r="AD855" s="105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105"/>
      <c r="AB856" s="105"/>
      <c r="AC856" s="105"/>
      <c r="AD856" s="105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105"/>
      <c r="AB857" s="105"/>
      <c r="AC857" s="105"/>
      <c r="AD857" s="105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105"/>
      <c r="AB858" s="105"/>
      <c r="AC858" s="105"/>
      <c r="AD858" s="105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105"/>
      <c r="AB859" s="105"/>
      <c r="AC859" s="105"/>
      <c r="AD859" s="105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105"/>
      <c r="AB860" s="105"/>
      <c r="AC860" s="105"/>
      <c r="AD860" s="105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105"/>
      <c r="AB861" s="105"/>
      <c r="AC861" s="105"/>
      <c r="AD861" s="105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105"/>
      <c r="AB862" s="105"/>
      <c r="AC862" s="105"/>
      <c r="AD862" s="105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105"/>
      <c r="AB863" s="105"/>
      <c r="AC863" s="105"/>
      <c r="AD863" s="105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105"/>
      <c r="AB864" s="105"/>
      <c r="AC864" s="105"/>
      <c r="AD864" s="105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105"/>
      <c r="AB865" s="105"/>
      <c r="AC865" s="105"/>
      <c r="AD865" s="105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105"/>
      <c r="AB866" s="105"/>
      <c r="AC866" s="105"/>
      <c r="AD866" s="105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105"/>
      <c r="AB867" s="105"/>
      <c r="AC867" s="105"/>
      <c r="AD867" s="105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105"/>
      <c r="AB868" s="105"/>
      <c r="AC868" s="105"/>
      <c r="AD868" s="105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105"/>
      <c r="AB869" s="105"/>
      <c r="AC869" s="105"/>
      <c r="AD869" s="105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105"/>
      <c r="AB870" s="105"/>
      <c r="AC870" s="105"/>
      <c r="AD870" s="105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105"/>
      <c r="AB871" s="105"/>
      <c r="AC871" s="105"/>
      <c r="AD871" s="105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105"/>
      <c r="AB872" s="105"/>
      <c r="AC872" s="105"/>
      <c r="AD872" s="105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105"/>
      <c r="AB873" s="105"/>
      <c r="AC873" s="105"/>
      <c r="AD873" s="105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105"/>
      <c r="AB874" s="105"/>
      <c r="AC874" s="105"/>
      <c r="AD874" s="105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105"/>
      <c r="AB875" s="105"/>
      <c r="AC875" s="105"/>
      <c r="AD875" s="105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105"/>
      <c r="AB876" s="105"/>
      <c r="AC876" s="105"/>
      <c r="AD876" s="105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105"/>
      <c r="AB877" s="105"/>
      <c r="AC877" s="105"/>
      <c r="AD877" s="105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105"/>
      <c r="AB878" s="105"/>
      <c r="AC878" s="105"/>
      <c r="AD878" s="105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105"/>
      <c r="AB879" s="105"/>
      <c r="AC879" s="105"/>
      <c r="AD879" s="105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105"/>
      <c r="AB880" s="105"/>
      <c r="AC880" s="105"/>
      <c r="AD880" s="105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105"/>
      <c r="AB881" s="105"/>
      <c r="AC881" s="105"/>
      <c r="AD881" s="105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105"/>
      <c r="AB882" s="105"/>
      <c r="AC882" s="105"/>
      <c r="AD882" s="105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105"/>
      <c r="AB883" s="105"/>
      <c r="AC883" s="105"/>
      <c r="AD883" s="105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105"/>
      <c r="AB884" s="105"/>
      <c r="AC884" s="105"/>
      <c r="AD884" s="105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105"/>
      <c r="AB885" s="105"/>
      <c r="AC885" s="105"/>
      <c r="AD885" s="105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105"/>
      <c r="AB886" s="105"/>
      <c r="AC886" s="105"/>
      <c r="AD886" s="105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105"/>
      <c r="AB887" s="105"/>
      <c r="AC887" s="105"/>
      <c r="AD887" s="105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105"/>
      <c r="AB888" s="105"/>
      <c r="AC888" s="105"/>
      <c r="AD888" s="105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105"/>
      <c r="AB889" s="105"/>
      <c r="AC889" s="105"/>
      <c r="AD889" s="105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105"/>
      <c r="AB890" s="105"/>
      <c r="AC890" s="105"/>
      <c r="AD890" s="105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105"/>
      <c r="AB891" s="105"/>
      <c r="AC891" s="105"/>
      <c r="AD891" s="105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105"/>
      <c r="AB892" s="105"/>
      <c r="AC892" s="105"/>
      <c r="AD892" s="105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105"/>
      <c r="AB893" s="105"/>
      <c r="AC893" s="105"/>
      <c r="AD893" s="105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105"/>
      <c r="AB894" s="105"/>
      <c r="AC894" s="105"/>
      <c r="AD894" s="105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105"/>
      <c r="AB895" s="105"/>
      <c r="AC895" s="105"/>
      <c r="AD895" s="105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105"/>
      <c r="AB896" s="105"/>
      <c r="AC896" s="105"/>
      <c r="AD896" s="105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105"/>
      <c r="AB897" s="105"/>
      <c r="AC897" s="105"/>
      <c r="AD897" s="105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105"/>
      <c r="AB898" s="105"/>
      <c r="AC898" s="105"/>
      <c r="AD898" s="105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105"/>
      <c r="AB899" s="105"/>
      <c r="AC899" s="105"/>
      <c r="AD899" s="105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105"/>
      <c r="AB900" s="105"/>
      <c r="AC900" s="105"/>
      <c r="AD900" s="105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105"/>
      <c r="AB901" s="105"/>
      <c r="AC901" s="105"/>
      <c r="AD901" s="105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105"/>
      <c r="AB902" s="105"/>
      <c r="AC902" s="105"/>
      <c r="AD902" s="105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105"/>
      <c r="AB903" s="105"/>
      <c r="AC903" s="105"/>
      <c r="AD903" s="105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105"/>
      <c r="AB904" s="105"/>
      <c r="AC904" s="105"/>
      <c r="AD904" s="105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105"/>
      <c r="AB905" s="105"/>
      <c r="AC905" s="105"/>
      <c r="AD905" s="105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105"/>
      <c r="AB906" s="105"/>
      <c r="AC906" s="105"/>
      <c r="AD906" s="105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105"/>
      <c r="AB907" s="105"/>
      <c r="AC907" s="105"/>
      <c r="AD907" s="105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105"/>
      <c r="AB908" s="105"/>
      <c r="AC908" s="105"/>
      <c r="AD908" s="105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105"/>
      <c r="AB909" s="105"/>
      <c r="AC909" s="105"/>
      <c r="AD909" s="105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105"/>
      <c r="AB910" s="105"/>
      <c r="AC910" s="105"/>
      <c r="AD910" s="105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105"/>
      <c r="AB911" s="105"/>
      <c r="AC911" s="105"/>
      <c r="AD911" s="105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105"/>
      <c r="AB912" s="105"/>
      <c r="AC912" s="105"/>
      <c r="AD912" s="105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105"/>
      <c r="AB913" s="105"/>
      <c r="AC913" s="105"/>
      <c r="AD913" s="105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105"/>
      <c r="AB914" s="105"/>
      <c r="AC914" s="105"/>
      <c r="AD914" s="105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105"/>
      <c r="AB915" s="105"/>
      <c r="AC915" s="105"/>
      <c r="AD915" s="105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105"/>
      <c r="AB916" s="105"/>
      <c r="AC916" s="105"/>
      <c r="AD916" s="105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105"/>
      <c r="AB917" s="105"/>
      <c r="AC917" s="105"/>
      <c r="AD917" s="105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105"/>
      <c r="AB918" s="105"/>
      <c r="AC918" s="105"/>
      <c r="AD918" s="105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105"/>
      <c r="AB919" s="105"/>
      <c r="AC919" s="105"/>
      <c r="AD919" s="105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105"/>
      <c r="AB920" s="105"/>
      <c r="AC920" s="105"/>
      <c r="AD920" s="105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105"/>
      <c r="AB921" s="105"/>
      <c r="AC921" s="105"/>
      <c r="AD921" s="105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105"/>
      <c r="AB922" s="105"/>
      <c r="AC922" s="105"/>
      <c r="AD922" s="105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105"/>
      <c r="AB923" s="105"/>
      <c r="AC923" s="105"/>
      <c r="AD923" s="105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105"/>
      <c r="AB924" s="105"/>
      <c r="AC924" s="105"/>
      <c r="AD924" s="105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105"/>
      <c r="AB925" s="105"/>
      <c r="AC925" s="105"/>
      <c r="AD925" s="105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105"/>
      <c r="AB926" s="105"/>
      <c r="AC926" s="105"/>
      <c r="AD926" s="105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105"/>
      <c r="AB927" s="105"/>
      <c r="AC927" s="105"/>
      <c r="AD927" s="105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105"/>
      <c r="AB928" s="105"/>
      <c r="AC928" s="105"/>
      <c r="AD928" s="105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105"/>
      <c r="AB929" s="105"/>
      <c r="AC929" s="105"/>
      <c r="AD929" s="105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105"/>
      <c r="AB930" s="105"/>
      <c r="AC930" s="105"/>
      <c r="AD930" s="105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105"/>
      <c r="AB931" s="105"/>
      <c r="AC931" s="105"/>
      <c r="AD931" s="105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105"/>
      <c r="AB932" s="105"/>
      <c r="AC932" s="105"/>
      <c r="AD932" s="105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105"/>
      <c r="AB933" s="105"/>
      <c r="AC933" s="105"/>
      <c r="AD933" s="105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105"/>
      <c r="AB934" s="105"/>
      <c r="AC934" s="105"/>
      <c r="AD934" s="105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105"/>
      <c r="AB935" s="105"/>
      <c r="AC935" s="105"/>
      <c r="AD935" s="105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105"/>
      <c r="AB936" s="105"/>
      <c r="AC936" s="105"/>
      <c r="AD936" s="105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105"/>
      <c r="AB937" s="105"/>
      <c r="AC937" s="105"/>
      <c r="AD937" s="105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105"/>
      <c r="AB938" s="105"/>
      <c r="AC938" s="105"/>
      <c r="AD938" s="105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105"/>
      <c r="AB939" s="105"/>
      <c r="AC939" s="105"/>
      <c r="AD939" s="105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105"/>
      <c r="AB940" s="105"/>
      <c r="AC940" s="105"/>
      <c r="AD940" s="105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105"/>
      <c r="AB941" s="105"/>
      <c r="AC941" s="105"/>
      <c r="AD941" s="105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105"/>
      <c r="AB942" s="105"/>
      <c r="AC942" s="105"/>
      <c r="AD942" s="105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105"/>
      <c r="AB943" s="105"/>
      <c r="AC943" s="105"/>
      <c r="AD943" s="105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105"/>
      <c r="AB944" s="105"/>
      <c r="AC944" s="105"/>
      <c r="AD944" s="105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105"/>
      <c r="AB945" s="105"/>
      <c r="AC945" s="105"/>
      <c r="AD945" s="105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105"/>
      <c r="AB946" s="105"/>
      <c r="AC946" s="105"/>
      <c r="AD946" s="105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105"/>
      <c r="AB947" s="105"/>
      <c r="AC947" s="105"/>
      <c r="AD947" s="105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105"/>
      <c r="AB948" s="105"/>
      <c r="AC948" s="105"/>
      <c r="AD948" s="105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105"/>
      <c r="AB949" s="105"/>
      <c r="AC949" s="105"/>
      <c r="AD949" s="105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105"/>
      <c r="AB950" s="105"/>
      <c r="AC950" s="105"/>
      <c r="AD950" s="105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105"/>
      <c r="AB951" s="105"/>
      <c r="AC951" s="105"/>
      <c r="AD951" s="105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105"/>
      <c r="AB952" s="105"/>
      <c r="AC952" s="105"/>
      <c r="AD952" s="105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105"/>
      <c r="AB953" s="105"/>
      <c r="AC953" s="105"/>
      <c r="AD953" s="105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105"/>
      <c r="AB954" s="105"/>
      <c r="AC954" s="105"/>
      <c r="AD954" s="105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105"/>
      <c r="AB955" s="105"/>
      <c r="AC955" s="105"/>
      <c r="AD955" s="105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105"/>
      <c r="AB956" s="105"/>
      <c r="AC956" s="105"/>
      <c r="AD956" s="105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105"/>
      <c r="AB957" s="105"/>
      <c r="AC957" s="105"/>
      <c r="AD957" s="105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105"/>
      <c r="AB958" s="105"/>
      <c r="AC958" s="105"/>
      <c r="AD958" s="105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105"/>
      <c r="AB959" s="105"/>
      <c r="AC959" s="105"/>
      <c r="AD959" s="105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105"/>
      <c r="AB960" s="105"/>
      <c r="AC960" s="105"/>
      <c r="AD960" s="105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105"/>
      <c r="AB961" s="105"/>
      <c r="AC961" s="105"/>
      <c r="AD961" s="105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105"/>
      <c r="AB962" s="105"/>
      <c r="AC962" s="105"/>
      <c r="AD962" s="105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105"/>
      <c r="AB963" s="105"/>
      <c r="AC963" s="105"/>
      <c r="AD963" s="105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105"/>
      <c r="AB964" s="105"/>
      <c r="AC964" s="105"/>
      <c r="AD964" s="105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105"/>
      <c r="AB965" s="105"/>
      <c r="AC965" s="105"/>
      <c r="AD965" s="105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105"/>
      <c r="AB966" s="105"/>
      <c r="AC966" s="105"/>
      <c r="AD966" s="105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105"/>
      <c r="AB967" s="105"/>
      <c r="AC967" s="105"/>
      <c r="AD967" s="105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105"/>
      <c r="AB968" s="105"/>
      <c r="AC968" s="105"/>
      <c r="AD968" s="105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105"/>
      <c r="AB969" s="105"/>
      <c r="AC969" s="105"/>
      <c r="AD969" s="105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105"/>
      <c r="AB970" s="105"/>
      <c r="AC970" s="105"/>
      <c r="AD970" s="105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105"/>
      <c r="AB971" s="105"/>
      <c r="AC971" s="105"/>
      <c r="AD971" s="105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105"/>
      <c r="AB972" s="105"/>
      <c r="AC972" s="105"/>
      <c r="AD972" s="105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105"/>
      <c r="AB973" s="105"/>
      <c r="AC973" s="105"/>
      <c r="AD973" s="105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105"/>
      <c r="AB974" s="105"/>
      <c r="AC974" s="105"/>
      <c r="AD974" s="105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105"/>
      <c r="AB975" s="105"/>
      <c r="AC975" s="105"/>
      <c r="AD975" s="105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105"/>
      <c r="AB976" s="105"/>
      <c r="AC976" s="105"/>
      <c r="AD976" s="105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105"/>
      <c r="AB977" s="105"/>
      <c r="AC977" s="105"/>
      <c r="AD977" s="105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105"/>
      <c r="AB978" s="105"/>
      <c r="AC978" s="105"/>
      <c r="AD978" s="105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105"/>
      <c r="AB979" s="105"/>
      <c r="AC979" s="105"/>
      <c r="AD979" s="105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105"/>
      <c r="AB980" s="105"/>
      <c r="AC980" s="105"/>
      <c r="AD980" s="105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105"/>
      <c r="AB981" s="105"/>
      <c r="AC981" s="105"/>
      <c r="AD981" s="105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105"/>
      <c r="AB982" s="105"/>
      <c r="AC982" s="105"/>
      <c r="AD982" s="105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105"/>
      <c r="AB983" s="105"/>
      <c r="AC983" s="105"/>
      <c r="AD983" s="105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105"/>
      <c r="AB984" s="105"/>
      <c r="AC984" s="105"/>
      <c r="AD984" s="105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105"/>
      <c r="AB985" s="105"/>
      <c r="AC985" s="105"/>
      <c r="AD985" s="105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105"/>
      <c r="AB986" s="105"/>
      <c r="AC986" s="105"/>
      <c r="AD986" s="105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105"/>
      <c r="AB987" s="105"/>
      <c r="AC987" s="105"/>
      <c r="AD987" s="105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105"/>
      <c r="AB988" s="105"/>
      <c r="AC988" s="105"/>
      <c r="AD988" s="105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105"/>
      <c r="AB989" s="105"/>
      <c r="AC989" s="105"/>
      <c r="AD989" s="105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105"/>
      <c r="AB990" s="105"/>
      <c r="AC990" s="105"/>
      <c r="AD990" s="105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105"/>
      <c r="AB991" s="105"/>
      <c r="AC991" s="105"/>
      <c r="AD991" s="105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105"/>
      <c r="AB992" s="105"/>
      <c r="AC992" s="105"/>
      <c r="AD992" s="105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105"/>
      <c r="AB993" s="105"/>
      <c r="AC993" s="105"/>
      <c r="AD993" s="105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105"/>
      <c r="AB994" s="105"/>
      <c r="AC994" s="105"/>
      <c r="AD994" s="105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105"/>
      <c r="AB995" s="105"/>
      <c r="AC995" s="105"/>
      <c r="AD995" s="105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105"/>
      <c r="AB996" s="105"/>
      <c r="AC996" s="105"/>
      <c r="AD996" s="105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105"/>
      <c r="AB997" s="105"/>
      <c r="AC997" s="105"/>
      <c r="AD997" s="105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105"/>
      <c r="AB998" s="105"/>
      <c r="AC998" s="105"/>
      <c r="AD998" s="105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105"/>
      <c r="AB999" s="105"/>
      <c r="AC999" s="105"/>
      <c r="AD999" s="105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105"/>
      <c r="AB1000" s="105"/>
      <c r="AC1000" s="105"/>
      <c r="AD1000" s="105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105"/>
      <c r="AB1001" s="105"/>
      <c r="AC1001" s="105"/>
      <c r="AD1001" s="105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105"/>
      <c r="AB1002" s="105"/>
      <c r="AC1002" s="105"/>
      <c r="AD1002" s="105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105"/>
      <c r="AB1003" s="105"/>
      <c r="AC1003" s="105"/>
      <c r="AD1003" s="105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105"/>
      <c r="AB1004" s="105"/>
      <c r="AC1004" s="105"/>
      <c r="AD1004" s="105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105"/>
      <c r="AB1005" s="105"/>
      <c r="AC1005" s="105"/>
      <c r="AD1005" s="105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105"/>
      <c r="AB1006" s="105"/>
      <c r="AC1006" s="105"/>
      <c r="AD1006" s="105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105"/>
      <c r="AB1007" s="105"/>
      <c r="AC1007" s="105"/>
      <c r="AD1007" s="105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105"/>
      <c r="AB1008" s="105"/>
      <c r="AC1008" s="105"/>
      <c r="AD1008" s="105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105"/>
      <c r="AB1009" s="105"/>
      <c r="AC1009" s="105"/>
      <c r="AD1009" s="105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105"/>
      <c r="AB1010" s="105"/>
      <c r="AC1010" s="105"/>
      <c r="AD1010" s="105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105"/>
      <c r="AB1011" s="105"/>
      <c r="AC1011" s="105"/>
      <c r="AD1011" s="105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105"/>
      <c r="AB1012" s="105"/>
      <c r="AC1012" s="105"/>
      <c r="AD1012" s="105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105"/>
      <c r="AB1013" s="105"/>
      <c r="AC1013" s="105"/>
      <c r="AD1013" s="105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105"/>
      <c r="AB1014" s="105"/>
      <c r="AC1014" s="105"/>
      <c r="AD1014" s="105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105"/>
      <c r="AB1015" s="105"/>
      <c r="AC1015" s="105"/>
      <c r="AD1015" s="105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105"/>
      <c r="AB1016" s="105"/>
      <c r="AC1016" s="105"/>
      <c r="AD1016" s="105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105"/>
      <c r="AB1017" s="105"/>
      <c r="AC1017" s="105"/>
      <c r="AD1017" s="105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105"/>
      <c r="AB1018" s="105"/>
      <c r="AC1018" s="105"/>
      <c r="AD1018" s="105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105"/>
      <c r="AB1019" s="105"/>
      <c r="AC1019" s="105"/>
      <c r="AD1019" s="105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105"/>
      <c r="AB1020" s="105"/>
      <c r="AC1020" s="105"/>
      <c r="AD1020" s="105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105"/>
      <c r="AB1021" s="105"/>
      <c r="AC1021" s="105"/>
      <c r="AD1021" s="105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105"/>
      <c r="AB1022" s="105"/>
      <c r="AC1022" s="105"/>
      <c r="AD1022" s="105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105"/>
      <c r="AB1023" s="105"/>
      <c r="AC1023" s="105"/>
      <c r="AD1023" s="105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105"/>
      <c r="AB1024" s="105"/>
      <c r="AC1024" s="105"/>
      <c r="AD1024" s="105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105"/>
      <c r="AB1025" s="105"/>
      <c r="AC1025" s="105"/>
      <c r="AD1025" s="105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105"/>
      <c r="AB1026" s="105"/>
      <c r="AC1026" s="105"/>
      <c r="AD1026" s="105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105"/>
      <c r="AB1027" s="105"/>
      <c r="AC1027" s="105"/>
      <c r="AD1027" s="105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105"/>
      <c r="AB1028" s="105"/>
      <c r="AC1028" s="105"/>
      <c r="AD1028" s="105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105"/>
      <c r="AB1029" s="105"/>
      <c r="AC1029" s="105"/>
      <c r="AD1029" s="105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105"/>
      <c r="AB1030" s="105"/>
      <c r="AC1030" s="105"/>
      <c r="AD1030" s="105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105"/>
      <c r="AB1031" s="105"/>
      <c r="AC1031" s="105"/>
      <c r="AD1031" s="105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105"/>
      <c r="AB1032" s="105"/>
      <c r="AC1032" s="105"/>
      <c r="AD1032" s="105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105"/>
      <c r="AB1033" s="105"/>
      <c r="AC1033" s="105"/>
      <c r="AD1033" s="105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105"/>
      <c r="AB1034" s="105"/>
      <c r="AC1034" s="105"/>
      <c r="AD1034" s="105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105"/>
      <c r="AB1035" s="105"/>
      <c r="AC1035" s="105"/>
      <c r="AD1035" s="105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105"/>
      <c r="AB1036" s="105"/>
      <c r="AC1036" s="105"/>
      <c r="AD1036" s="105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105"/>
      <c r="AB1037" s="105"/>
      <c r="AC1037" s="105"/>
      <c r="AD1037" s="105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105"/>
      <c r="AB1038" s="105"/>
      <c r="AC1038" s="105"/>
      <c r="AD1038" s="105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105"/>
      <c r="AB1039" s="105"/>
      <c r="AC1039" s="105"/>
      <c r="AD1039" s="105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105"/>
      <c r="AB1040" s="105"/>
      <c r="AC1040" s="105"/>
      <c r="AD1040" s="105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105"/>
      <c r="AB1041" s="105"/>
      <c r="AC1041" s="105"/>
      <c r="AD1041" s="105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105"/>
      <c r="AB1042" s="105"/>
      <c r="AC1042" s="105"/>
      <c r="AD1042" s="105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105"/>
      <c r="AB1043" s="105"/>
      <c r="AC1043" s="105"/>
      <c r="AD1043" s="105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105"/>
      <c r="AB1044" s="105"/>
      <c r="AC1044" s="105"/>
      <c r="AD1044" s="105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105"/>
      <c r="AB1045" s="105"/>
      <c r="AC1045" s="105"/>
      <c r="AD1045" s="105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105"/>
      <c r="AB1046" s="105"/>
      <c r="AC1046" s="105"/>
      <c r="AD1046" s="105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105"/>
      <c r="AB1047" s="105"/>
      <c r="AC1047" s="105"/>
      <c r="AD1047" s="105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105"/>
      <c r="AB1048" s="105"/>
      <c r="AC1048" s="105"/>
      <c r="AD1048" s="105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105"/>
      <c r="AB1049" s="105"/>
      <c r="AC1049" s="105"/>
      <c r="AD1049" s="105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105"/>
      <c r="AB1050" s="105"/>
      <c r="AC1050" s="105"/>
      <c r="AD1050" s="105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105"/>
      <c r="AB1051" s="105"/>
      <c r="AC1051" s="105"/>
      <c r="AD1051" s="105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105"/>
      <c r="AB1052" s="105"/>
      <c r="AC1052" s="105"/>
      <c r="AD1052" s="105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105"/>
      <c r="AB1053" s="105"/>
      <c r="AC1053" s="105"/>
      <c r="AD1053" s="105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105"/>
      <c r="AB1054" s="105"/>
      <c r="AC1054" s="105"/>
      <c r="AD1054" s="105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105"/>
      <c r="AB1055" s="105"/>
      <c r="AC1055" s="105"/>
      <c r="AD1055" s="105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105"/>
      <c r="AB1056" s="105"/>
      <c r="AC1056" s="105"/>
      <c r="AD1056" s="105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105"/>
      <c r="AB1057" s="105"/>
      <c r="AC1057" s="105"/>
      <c r="AD1057" s="105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105"/>
      <c r="AB1058" s="105"/>
      <c r="AC1058" s="105"/>
      <c r="AD1058" s="105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105"/>
      <c r="AB1059" s="105"/>
      <c r="AC1059" s="105"/>
      <c r="AD1059" s="105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105"/>
      <c r="AB1060" s="105"/>
      <c r="AC1060" s="105"/>
      <c r="AD1060" s="105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105"/>
      <c r="AB1061" s="105"/>
      <c r="AC1061" s="105"/>
      <c r="AD1061" s="105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105"/>
      <c r="AB1062" s="105"/>
      <c r="AC1062" s="105"/>
      <c r="AD1062" s="105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105"/>
      <c r="AB1063" s="105"/>
      <c r="AC1063" s="105"/>
      <c r="AD1063" s="105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105"/>
      <c r="AB1064" s="105"/>
      <c r="AC1064" s="105"/>
      <c r="AD1064" s="105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105"/>
      <c r="AB1065" s="105"/>
      <c r="AC1065" s="105"/>
      <c r="AD1065" s="105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105"/>
      <c r="AB1066" s="105"/>
      <c r="AC1066" s="105"/>
      <c r="AD1066" s="105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105"/>
      <c r="AB1067" s="105"/>
      <c r="AC1067" s="105"/>
      <c r="AD1067" s="105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105"/>
      <c r="AB1068" s="105"/>
      <c r="AC1068" s="105"/>
      <c r="AD1068" s="105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105"/>
      <c r="AB1069" s="105"/>
      <c r="AC1069" s="105"/>
      <c r="AD1069" s="105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105"/>
      <c r="AB1070" s="105"/>
      <c r="AC1070" s="105"/>
      <c r="AD1070" s="105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105"/>
      <c r="AB1071" s="105"/>
      <c r="AC1071" s="105"/>
      <c r="AD1071" s="105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105"/>
      <c r="AB1072" s="105"/>
      <c r="AC1072" s="105"/>
      <c r="AD1072" s="105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105"/>
      <c r="AB1073" s="105"/>
      <c r="AC1073" s="105"/>
      <c r="AD1073" s="105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105"/>
      <c r="AB1074" s="105"/>
      <c r="AC1074" s="105"/>
      <c r="AD1074" s="105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105"/>
      <c r="AB1075" s="105"/>
      <c r="AC1075" s="105"/>
      <c r="AD1075" s="105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105"/>
      <c r="AB1076" s="105"/>
      <c r="AC1076" s="105"/>
      <c r="AD1076" s="105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105"/>
      <c r="AB1077" s="105"/>
      <c r="AC1077" s="105"/>
      <c r="AD1077" s="105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105"/>
      <c r="AB1078" s="105"/>
      <c r="AC1078" s="105"/>
      <c r="AD1078" s="105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105"/>
      <c r="AB1079" s="105"/>
      <c r="AC1079" s="105"/>
      <c r="AD1079" s="105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105"/>
      <c r="AB1080" s="105"/>
      <c r="AC1080" s="105"/>
      <c r="AD1080" s="105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105"/>
      <c r="AB1081" s="105"/>
      <c r="AC1081" s="105"/>
      <c r="AD1081" s="105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105"/>
      <c r="AB1082" s="105"/>
      <c r="AC1082" s="105"/>
      <c r="AD1082" s="105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105"/>
      <c r="AB1083" s="105"/>
      <c r="AC1083" s="105"/>
      <c r="AD1083" s="105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105"/>
      <c r="AB1084" s="105"/>
      <c r="AC1084" s="105"/>
      <c r="AD1084" s="105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105"/>
      <c r="AB1085" s="105"/>
      <c r="AC1085" s="105"/>
      <c r="AD1085" s="105"/>
    </row>
  </sheetData>
  <autoFilter ref="$M$106:$R$125">
    <sortState ref="M106:R125">
      <sortCondition ref="M106:M125"/>
    </sortState>
  </autoFilter>
  <mergeCells count="7">
    <mergeCell ref="G2:I4"/>
    <mergeCell ref="B7:E7"/>
    <mergeCell ref="G7:K7"/>
    <mergeCell ref="M7:R7"/>
    <mergeCell ref="T7:Z7"/>
    <mergeCell ref="H27:J27"/>
    <mergeCell ref="M105:R105"/>
  </mergeCells>
  <dataValidations>
    <dataValidation type="list" allowBlank="1" showErrorMessage="1" sqref="I9:I20 O9:O94 O107:O124">
      <formula1>"Alimentação,Beleza,Bem-estar/Saúde,Celular/tecnologia,Contabilidade/impostos,Educação médica,Eventos,Futilidades,Lazer,Presentes,Roupas/acessórios,Transporte,Viagens,Reembolsos,Casa"</formula1>
    </dataValidation>
    <dataValidation type="list" allowBlank="1" showErrorMessage="1" sqref="E9:E19 R107:R121">
      <formula1>"Pix,Itaú,Nubank,Dinheiro"</formula1>
    </dataValidation>
    <dataValidation type="list" allowBlank="1" showErrorMessage="1" sqref="K9:K20 R9:R94 R122:R124">
      <formula1>"Pix,Itaú,Nubank,Dinheiro,Boleto"</formula1>
    </dataValidation>
    <dataValidation type="list" allowBlank="1" showErrorMessage="1" sqref="C9:C19">
      <formula1>"Asmel,Aval,Salubritá,Reembolsos,Outros,Rendimentos"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7.88"/>
    <col customWidth="1" min="3" max="3" width="23.25"/>
    <col customWidth="1" min="4" max="4" width="12.13"/>
    <col customWidth="1" min="5" max="5" width="11.13"/>
    <col customWidth="1" min="7" max="7" width="8.0"/>
    <col customWidth="1" min="8" max="8" width="21.0"/>
    <col customWidth="1" min="9" max="9" width="14.13"/>
    <col customWidth="1" min="10" max="11" width="9.75"/>
    <col customWidth="1" min="13" max="13" width="10.75"/>
    <col customWidth="1" min="14" max="14" width="20.25"/>
    <col customWidth="1" min="15" max="15" width="13.63"/>
    <col customWidth="1" min="16" max="16" width="7.75"/>
    <col customWidth="1" min="17" max="17" width="11.13"/>
    <col customWidth="1" min="18" max="18" width="10.88"/>
  </cols>
  <sheetData>
    <row r="1">
      <c r="A1" s="2"/>
      <c r="B1" s="2"/>
      <c r="C1" s="2"/>
      <c r="D1" s="2"/>
      <c r="E1" s="2"/>
      <c r="F1" s="2"/>
      <c r="G1" s="3"/>
      <c r="H1" s="3"/>
      <c r="I1" s="3"/>
      <c r="J1" s="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05"/>
      <c r="AB1" s="105"/>
      <c r="AC1" s="105"/>
      <c r="AD1" s="105"/>
    </row>
    <row r="2">
      <c r="A2" s="2"/>
      <c r="B2" s="2"/>
      <c r="C2" s="2"/>
      <c r="D2" s="2"/>
      <c r="E2" s="2"/>
      <c r="F2" s="4"/>
      <c r="G2" s="5" t="s">
        <v>231</v>
      </c>
      <c r="H2" s="6"/>
      <c r="I2" s="7"/>
      <c r="J2" s="8"/>
      <c r="K2" s="9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105"/>
      <c r="AB2" s="105"/>
      <c r="AC2" s="105"/>
      <c r="AD2" s="105"/>
    </row>
    <row r="3">
      <c r="A3" s="2"/>
      <c r="B3" s="2"/>
      <c r="C3" s="2"/>
      <c r="D3" s="2"/>
      <c r="E3" s="2"/>
      <c r="F3" s="4"/>
      <c r="G3" s="10"/>
      <c r="I3" s="11"/>
      <c r="J3" s="8"/>
      <c r="K3" s="9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105"/>
      <c r="AB3" s="105"/>
      <c r="AC3" s="105"/>
      <c r="AD3" s="105"/>
    </row>
    <row r="4">
      <c r="A4" s="2"/>
      <c r="B4" s="2"/>
      <c r="C4" s="2"/>
      <c r="D4" s="2"/>
      <c r="E4" s="2"/>
      <c r="F4" s="4"/>
      <c r="G4" s="12"/>
      <c r="H4" s="13"/>
      <c r="I4" s="14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105"/>
      <c r="AB4" s="105"/>
      <c r="AC4" s="105"/>
      <c r="AD4" s="105"/>
    </row>
    <row r="5">
      <c r="A5" s="2"/>
      <c r="B5" s="2"/>
      <c r="C5" s="2"/>
      <c r="D5" s="2"/>
      <c r="E5" s="2"/>
      <c r="F5" s="2"/>
      <c r="G5" s="15"/>
      <c r="H5" s="15"/>
      <c r="I5" s="15"/>
      <c r="J5" s="15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105"/>
      <c r="AB5" s="105"/>
      <c r="AC5" s="105"/>
      <c r="AD5" s="105"/>
    </row>
    <row r="6">
      <c r="A6" s="2"/>
      <c r="B6" s="3"/>
      <c r="C6" s="3"/>
      <c r="D6" s="3"/>
      <c r="E6" s="3"/>
      <c r="F6" s="2"/>
      <c r="G6" s="3"/>
      <c r="H6" s="3"/>
      <c r="I6" s="3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105"/>
      <c r="AB6" s="105"/>
      <c r="AC6" s="105"/>
      <c r="AD6" s="105"/>
    </row>
    <row r="7">
      <c r="A7" s="4"/>
      <c r="B7" s="16" t="s">
        <v>1</v>
      </c>
      <c r="C7" s="17"/>
      <c r="D7" s="17"/>
      <c r="E7" s="18"/>
      <c r="F7" s="9"/>
      <c r="G7" s="19" t="s">
        <v>2</v>
      </c>
      <c r="H7" s="17"/>
      <c r="I7" s="17"/>
      <c r="J7" s="17"/>
      <c r="K7" s="18"/>
      <c r="L7" s="2"/>
      <c r="M7" s="21" t="s">
        <v>3</v>
      </c>
      <c r="N7" s="17"/>
      <c r="O7" s="17"/>
      <c r="P7" s="17"/>
      <c r="Q7" s="17"/>
      <c r="R7" s="18"/>
      <c r="S7" s="2"/>
      <c r="T7" s="22" t="s">
        <v>4</v>
      </c>
      <c r="U7" s="17"/>
      <c r="V7" s="17"/>
      <c r="W7" s="17"/>
      <c r="X7" s="17"/>
      <c r="Y7" s="17"/>
      <c r="Z7" s="18"/>
      <c r="AA7" s="106"/>
      <c r="AB7" s="107"/>
      <c r="AC7" s="107"/>
      <c r="AD7" s="107"/>
    </row>
    <row r="8">
      <c r="A8" s="4"/>
      <c r="B8" s="25" t="s">
        <v>5</v>
      </c>
      <c r="C8" s="26" t="s">
        <v>6</v>
      </c>
      <c r="D8" s="27" t="s">
        <v>7</v>
      </c>
      <c r="E8" s="26" t="s">
        <v>8</v>
      </c>
      <c r="F8" s="9"/>
      <c r="G8" s="28" t="s">
        <v>5</v>
      </c>
      <c r="H8" s="28" t="s">
        <v>6</v>
      </c>
      <c r="I8" s="28" t="s">
        <v>9</v>
      </c>
      <c r="J8" s="29" t="s">
        <v>7</v>
      </c>
      <c r="K8" s="28" t="s">
        <v>8</v>
      </c>
      <c r="L8" s="2"/>
      <c r="M8" s="108" t="s">
        <v>5</v>
      </c>
      <c r="N8" s="108" t="s">
        <v>6</v>
      </c>
      <c r="O8" s="108" t="s">
        <v>9</v>
      </c>
      <c r="P8" s="109" t="s">
        <v>10</v>
      </c>
      <c r="Q8" s="109" t="s">
        <v>7</v>
      </c>
      <c r="R8" s="108" t="s">
        <v>8</v>
      </c>
      <c r="S8" s="2"/>
      <c r="T8" s="32" t="s">
        <v>5</v>
      </c>
      <c r="U8" s="32" t="s">
        <v>9</v>
      </c>
      <c r="V8" s="33" t="s">
        <v>7</v>
      </c>
      <c r="W8" s="32" t="s">
        <v>11</v>
      </c>
      <c r="X8" s="32" t="s">
        <v>12</v>
      </c>
      <c r="Y8" s="32" t="s">
        <v>13</v>
      </c>
      <c r="Z8" s="32" t="s">
        <v>14</v>
      </c>
      <c r="AA8" s="110"/>
      <c r="AB8" s="111"/>
      <c r="AC8" s="111"/>
      <c r="AD8" s="111"/>
    </row>
    <row r="9">
      <c r="A9" s="4"/>
      <c r="B9" s="36" t="s">
        <v>232</v>
      </c>
      <c r="C9" s="37" t="s">
        <v>29</v>
      </c>
      <c r="D9" s="38">
        <v>1486.66</v>
      </c>
      <c r="E9" s="37"/>
      <c r="F9" s="9"/>
      <c r="G9" s="39">
        <v>45980.0</v>
      </c>
      <c r="H9" s="37" t="s">
        <v>18</v>
      </c>
      <c r="I9" s="37" t="s">
        <v>19</v>
      </c>
      <c r="J9" s="38">
        <v>34.99</v>
      </c>
      <c r="K9" s="37" t="s">
        <v>17</v>
      </c>
      <c r="L9" s="2"/>
      <c r="M9" s="40">
        <v>45751.0</v>
      </c>
      <c r="N9" s="37" t="s">
        <v>20</v>
      </c>
      <c r="O9" s="37" t="s">
        <v>46</v>
      </c>
      <c r="P9" s="36" t="s">
        <v>233</v>
      </c>
      <c r="Q9" s="38">
        <v>99.99</v>
      </c>
      <c r="R9" s="37" t="s">
        <v>21</v>
      </c>
      <c r="S9" s="2"/>
      <c r="T9" s="41"/>
      <c r="U9" s="37"/>
      <c r="V9" s="38"/>
      <c r="W9" s="42"/>
      <c r="X9" s="38"/>
      <c r="Y9" s="43"/>
      <c r="Z9" s="38"/>
      <c r="AA9" s="112"/>
      <c r="AB9" s="113"/>
      <c r="AC9" s="113"/>
      <c r="AD9" s="113"/>
    </row>
    <row r="10">
      <c r="A10" s="4"/>
      <c r="B10" s="36"/>
      <c r="C10" s="37" t="s">
        <v>41</v>
      </c>
      <c r="D10" s="38">
        <v>3410.0</v>
      </c>
      <c r="E10" s="37"/>
      <c r="F10" s="9"/>
      <c r="G10" s="39">
        <v>45986.0</v>
      </c>
      <c r="H10" s="37" t="s">
        <v>25</v>
      </c>
      <c r="I10" s="37" t="s">
        <v>19</v>
      </c>
      <c r="J10" s="38">
        <v>44.9</v>
      </c>
      <c r="K10" s="37" t="s">
        <v>17</v>
      </c>
      <c r="L10" s="2"/>
      <c r="M10" s="40">
        <v>45905.0</v>
      </c>
      <c r="N10" s="37" t="s">
        <v>51</v>
      </c>
      <c r="O10" s="37" t="s">
        <v>16</v>
      </c>
      <c r="P10" s="36" t="s">
        <v>234</v>
      </c>
      <c r="Q10" s="38">
        <v>100.07</v>
      </c>
      <c r="R10" s="37" t="s">
        <v>17</v>
      </c>
      <c r="S10" s="2"/>
      <c r="T10" s="41"/>
      <c r="U10" s="37"/>
      <c r="V10" s="38"/>
      <c r="W10" s="42"/>
      <c r="X10" s="46"/>
      <c r="Y10" s="43"/>
      <c r="Z10" s="38"/>
      <c r="AA10" s="112"/>
      <c r="AB10" s="113"/>
      <c r="AC10" s="113"/>
      <c r="AD10" s="113"/>
    </row>
    <row r="11">
      <c r="A11" s="4"/>
      <c r="B11" s="36"/>
      <c r="C11" s="37" t="s">
        <v>29</v>
      </c>
      <c r="D11" s="38">
        <v>1840.0</v>
      </c>
      <c r="E11" s="37"/>
      <c r="F11" s="9"/>
      <c r="G11" s="39">
        <v>45987.0</v>
      </c>
      <c r="H11" s="37" t="s">
        <v>30</v>
      </c>
      <c r="I11" s="37" t="s">
        <v>31</v>
      </c>
      <c r="J11" s="38">
        <v>100.0</v>
      </c>
      <c r="K11" s="37" t="s">
        <v>17</v>
      </c>
      <c r="L11" s="2"/>
      <c r="M11" s="96">
        <v>45926.0</v>
      </c>
      <c r="N11" s="97" t="s">
        <v>88</v>
      </c>
      <c r="O11" s="97" t="s">
        <v>55</v>
      </c>
      <c r="P11" s="114" t="s">
        <v>155</v>
      </c>
      <c r="Q11" s="99">
        <v>106.66</v>
      </c>
      <c r="R11" s="97" t="s">
        <v>17</v>
      </c>
      <c r="S11" s="2"/>
      <c r="T11" s="41"/>
      <c r="U11" s="37"/>
      <c r="V11" s="38"/>
      <c r="W11" s="42"/>
      <c r="X11" s="46"/>
      <c r="Y11" s="43"/>
      <c r="Z11" s="38"/>
      <c r="AA11" s="112"/>
      <c r="AB11" s="113"/>
      <c r="AC11" s="113"/>
      <c r="AD11" s="113"/>
    </row>
    <row r="12">
      <c r="A12" s="4"/>
      <c r="B12" s="36"/>
      <c r="C12" s="37" t="s">
        <v>35</v>
      </c>
      <c r="D12" s="38">
        <v>2240.0</v>
      </c>
      <c r="E12" s="37"/>
      <c r="F12" s="9"/>
      <c r="G12" s="39"/>
      <c r="H12" s="37" t="s">
        <v>42</v>
      </c>
      <c r="I12" s="37" t="s">
        <v>43</v>
      </c>
      <c r="J12" s="38">
        <v>282.4</v>
      </c>
      <c r="K12" s="37" t="s">
        <v>44</v>
      </c>
      <c r="L12" s="2"/>
      <c r="M12" s="96">
        <v>45926.0</v>
      </c>
      <c r="N12" s="97" t="s">
        <v>88</v>
      </c>
      <c r="O12" s="97" t="s">
        <v>55</v>
      </c>
      <c r="P12" s="114" t="s">
        <v>155</v>
      </c>
      <c r="Q12" s="99">
        <v>106.66</v>
      </c>
      <c r="R12" s="97" t="s">
        <v>17</v>
      </c>
      <c r="S12" s="2"/>
      <c r="T12" s="41"/>
      <c r="U12" s="37"/>
      <c r="V12" s="38"/>
      <c r="W12" s="42"/>
      <c r="X12" s="47"/>
      <c r="Y12" s="48"/>
      <c r="Z12" s="38"/>
      <c r="AA12" s="112"/>
      <c r="AB12" s="113"/>
      <c r="AC12" s="113"/>
      <c r="AD12" s="113"/>
    </row>
    <row r="13">
      <c r="A13" s="4"/>
      <c r="B13" s="36"/>
      <c r="C13" s="37"/>
      <c r="D13" s="38"/>
      <c r="E13" s="37"/>
      <c r="F13" s="9"/>
      <c r="G13" s="39">
        <v>45995.0</v>
      </c>
      <c r="H13" s="37" t="s">
        <v>36</v>
      </c>
      <c r="I13" s="37" t="s">
        <v>37</v>
      </c>
      <c r="J13" s="38">
        <v>15.95</v>
      </c>
      <c r="K13" s="37" t="s">
        <v>38</v>
      </c>
      <c r="L13" s="2"/>
      <c r="M13" s="96">
        <v>45946.0</v>
      </c>
      <c r="N13" s="97" t="s">
        <v>139</v>
      </c>
      <c r="O13" s="97" t="s">
        <v>133</v>
      </c>
      <c r="P13" s="114" t="s">
        <v>235</v>
      </c>
      <c r="Q13" s="99">
        <v>99.82</v>
      </c>
      <c r="R13" s="97" t="s">
        <v>17</v>
      </c>
      <c r="S13" s="2"/>
      <c r="T13" s="142"/>
      <c r="U13" s="142"/>
      <c r="V13" s="42"/>
      <c r="W13" s="42"/>
      <c r="X13" s="42"/>
      <c r="Y13" s="48"/>
      <c r="Z13" s="42"/>
      <c r="AA13" s="119"/>
      <c r="AB13" s="120"/>
      <c r="AC13" s="120"/>
      <c r="AD13" s="120"/>
    </row>
    <row r="14">
      <c r="A14" s="4"/>
      <c r="B14" s="36"/>
      <c r="C14" s="37"/>
      <c r="D14" s="38"/>
      <c r="E14" s="37"/>
      <c r="F14" s="9"/>
      <c r="G14" s="39"/>
      <c r="H14" s="37" t="s">
        <v>161</v>
      </c>
      <c r="I14" s="37" t="s">
        <v>43</v>
      </c>
      <c r="J14" s="38"/>
      <c r="K14" s="37" t="s">
        <v>44</v>
      </c>
      <c r="L14" s="2"/>
      <c r="M14" s="59">
        <v>45952.0</v>
      </c>
      <c r="N14" s="60" t="s">
        <v>175</v>
      </c>
      <c r="O14" s="60" t="s">
        <v>59</v>
      </c>
      <c r="P14" s="114" t="s">
        <v>236</v>
      </c>
      <c r="Q14" s="62">
        <v>133.22</v>
      </c>
      <c r="R14" s="60" t="s">
        <v>17</v>
      </c>
      <c r="S14" s="2"/>
      <c r="T14" s="142"/>
      <c r="U14" s="142"/>
      <c r="V14" s="42"/>
      <c r="W14" s="42"/>
      <c r="X14" s="42"/>
      <c r="Y14" s="48"/>
      <c r="Z14" s="42"/>
      <c r="AA14" s="119"/>
      <c r="AB14" s="120"/>
      <c r="AC14" s="120"/>
      <c r="AD14" s="120"/>
    </row>
    <row r="15">
      <c r="A15" s="4"/>
      <c r="B15" s="36"/>
      <c r="C15" s="37"/>
      <c r="D15" s="38"/>
      <c r="E15" s="37"/>
      <c r="F15" s="9"/>
      <c r="G15" s="41">
        <v>46002.0</v>
      </c>
      <c r="H15" s="37" t="s">
        <v>57</v>
      </c>
      <c r="I15" s="37" t="s">
        <v>16</v>
      </c>
      <c r="J15" s="38">
        <v>34.9</v>
      </c>
      <c r="K15" s="37" t="s">
        <v>21</v>
      </c>
      <c r="L15" s="2"/>
      <c r="M15" s="59">
        <v>45952.0</v>
      </c>
      <c r="N15" s="60" t="s">
        <v>172</v>
      </c>
      <c r="O15" s="60" t="s">
        <v>27</v>
      </c>
      <c r="P15" s="114" t="s">
        <v>159</v>
      </c>
      <c r="Q15" s="62">
        <v>58.52</v>
      </c>
      <c r="R15" s="60" t="s">
        <v>17</v>
      </c>
      <c r="S15" s="2"/>
      <c r="T15" s="142"/>
      <c r="U15" s="142"/>
      <c r="V15" s="42"/>
      <c r="W15" s="42"/>
      <c r="X15" s="42"/>
      <c r="Y15" s="48"/>
      <c r="Z15" s="42"/>
      <c r="AA15" s="119"/>
      <c r="AB15" s="120"/>
      <c r="AC15" s="120"/>
      <c r="AD15" s="120"/>
    </row>
    <row r="16">
      <c r="A16" s="4"/>
      <c r="B16" s="36"/>
      <c r="C16" s="37"/>
      <c r="D16" s="38"/>
      <c r="E16" s="37"/>
      <c r="F16" s="9"/>
      <c r="G16" s="39">
        <v>46008.0</v>
      </c>
      <c r="H16" s="37" t="s">
        <v>49</v>
      </c>
      <c r="I16" s="37" t="s">
        <v>50</v>
      </c>
      <c r="J16" s="38">
        <v>148.92</v>
      </c>
      <c r="K16" s="37" t="s">
        <v>17</v>
      </c>
      <c r="L16" s="2"/>
      <c r="M16" s="96">
        <v>45971.0</v>
      </c>
      <c r="N16" s="141" t="s">
        <v>209</v>
      </c>
      <c r="O16" s="141" t="s">
        <v>55</v>
      </c>
      <c r="P16" s="114" t="s">
        <v>162</v>
      </c>
      <c r="Q16" s="99">
        <v>77.93</v>
      </c>
      <c r="R16" s="141" t="s">
        <v>17</v>
      </c>
      <c r="S16" s="2"/>
      <c r="T16" s="142"/>
      <c r="U16" s="142"/>
      <c r="V16" s="42"/>
      <c r="W16" s="42"/>
      <c r="X16" s="42"/>
      <c r="Y16" s="48"/>
      <c r="Z16" s="42"/>
      <c r="AA16" s="119"/>
      <c r="AB16" s="120"/>
      <c r="AC16" s="120"/>
      <c r="AD16" s="120"/>
    </row>
    <row r="17">
      <c r="A17" s="4"/>
      <c r="B17" s="36"/>
      <c r="C17" s="37"/>
      <c r="D17" s="38"/>
      <c r="E17" s="37"/>
      <c r="F17" s="9"/>
      <c r="G17" s="41">
        <v>46003.0</v>
      </c>
      <c r="H17" s="37" t="s">
        <v>53</v>
      </c>
      <c r="I17" s="37" t="s">
        <v>19</v>
      </c>
      <c r="J17" s="38">
        <v>69.9</v>
      </c>
      <c r="K17" s="37" t="s">
        <v>17</v>
      </c>
      <c r="L17" s="2"/>
      <c r="M17" s="96">
        <v>45972.0</v>
      </c>
      <c r="N17" s="141" t="s">
        <v>211</v>
      </c>
      <c r="O17" s="141" t="s">
        <v>55</v>
      </c>
      <c r="P17" s="114" t="s">
        <v>162</v>
      </c>
      <c r="Q17" s="99">
        <v>151.09</v>
      </c>
      <c r="R17" s="141" t="s">
        <v>17</v>
      </c>
      <c r="S17" s="2"/>
      <c r="T17" s="142"/>
      <c r="U17" s="142"/>
      <c r="V17" s="42"/>
      <c r="W17" s="42"/>
      <c r="X17" s="42"/>
      <c r="Y17" s="48"/>
      <c r="Z17" s="42"/>
      <c r="AA17" s="119"/>
      <c r="AB17" s="120"/>
      <c r="AC17" s="120"/>
      <c r="AD17" s="120"/>
    </row>
    <row r="18">
      <c r="A18" s="4"/>
      <c r="B18" s="36"/>
      <c r="C18" s="37"/>
      <c r="D18" s="38"/>
      <c r="E18" s="37"/>
      <c r="F18" s="9"/>
      <c r="G18" s="41">
        <v>46005.0</v>
      </c>
      <c r="H18" s="37" t="s">
        <v>61</v>
      </c>
      <c r="I18" s="37" t="s">
        <v>27</v>
      </c>
      <c r="J18" s="38">
        <v>139.9</v>
      </c>
      <c r="K18" s="37" t="s">
        <v>17</v>
      </c>
      <c r="L18" s="2"/>
      <c r="M18" s="59">
        <v>45978.0</v>
      </c>
      <c r="N18" s="60" t="s">
        <v>223</v>
      </c>
      <c r="O18" s="60" t="s">
        <v>27</v>
      </c>
      <c r="P18" s="114" t="s">
        <v>159</v>
      </c>
      <c r="Q18" s="62">
        <v>118.41</v>
      </c>
      <c r="R18" s="60" t="s">
        <v>17</v>
      </c>
      <c r="S18" s="2"/>
      <c r="T18" s="142"/>
      <c r="U18" s="142"/>
      <c r="V18" s="42"/>
      <c r="W18" s="42"/>
      <c r="X18" s="42"/>
      <c r="Y18" s="48"/>
      <c r="Z18" s="42"/>
      <c r="AA18" s="119"/>
      <c r="AB18" s="120"/>
      <c r="AC18" s="120"/>
      <c r="AD18" s="120"/>
    </row>
    <row r="19">
      <c r="A19" s="4"/>
      <c r="B19" s="63"/>
      <c r="C19" s="37"/>
      <c r="D19" s="38"/>
      <c r="E19" s="64"/>
      <c r="F19" s="9"/>
      <c r="G19" s="124">
        <v>46009.0</v>
      </c>
      <c r="H19" s="37" t="s">
        <v>68</v>
      </c>
      <c r="I19" s="37" t="s">
        <v>31</v>
      </c>
      <c r="J19" s="38">
        <v>14.99</v>
      </c>
      <c r="K19" s="37" t="s">
        <v>17</v>
      </c>
      <c r="L19" s="2"/>
      <c r="M19" s="59">
        <v>45980.0</v>
      </c>
      <c r="N19" s="60" t="s">
        <v>200</v>
      </c>
      <c r="O19" s="60" t="s">
        <v>70</v>
      </c>
      <c r="P19" s="114" t="s">
        <v>23</v>
      </c>
      <c r="Q19" s="62">
        <v>9.9</v>
      </c>
      <c r="R19" s="60" t="s">
        <v>17</v>
      </c>
      <c r="S19" s="2"/>
      <c r="T19" s="142"/>
      <c r="U19" s="142"/>
      <c r="V19" s="42"/>
      <c r="W19" s="42"/>
      <c r="X19" s="42"/>
      <c r="Y19" s="48"/>
      <c r="Z19" s="42"/>
      <c r="AA19" s="119"/>
      <c r="AB19" s="120"/>
      <c r="AC19" s="120"/>
      <c r="AD19" s="120"/>
    </row>
    <row r="20">
      <c r="A20" s="66"/>
      <c r="B20" s="25"/>
      <c r="C20" s="25" t="s">
        <v>47</v>
      </c>
      <c r="D20" s="67">
        <f>SUM(D9:D19)</f>
        <v>8976.66</v>
      </c>
      <c r="E20" s="25"/>
      <c r="F20" s="9"/>
      <c r="G20" s="124">
        <v>45994.0</v>
      </c>
      <c r="H20" s="37" t="s">
        <v>161</v>
      </c>
      <c r="I20" s="37" t="s">
        <v>43</v>
      </c>
      <c r="J20" s="38">
        <v>108.65</v>
      </c>
      <c r="K20" s="37" t="s">
        <v>44</v>
      </c>
      <c r="L20" s="2"/>
      <c r="M20" s="59">
        <v>45980.0</v>
      </c>
      <c r="N20" s="60" t="s">
        <v>208</v>
      </c>
      <c r="O20" s="60" t="s">
        <v>81</v>
      </c>
      <c r="P20" s="114" t="s">
        <v>23</v>
      </c>
      <c r="Q20" s="62">
        <v>32.98</v>
      </c>
      <c r="R20" s="60" t="s">
        <v>17</v>
      </c>
      <c r="S20" s="3"/>
      <c r="T20" s="142"/>
      <c r="U20" s="142"/>
      <c r="V20" s="42"/>
      <c r="W20" s="42"/>
      <c r="X20" s="42"/>
      <c r="Y20" s="48"/>
      <c r="Z20" s="42"/>
      <c r="AA20" s="119"/>
      <c r="AB20" s="120"/>
      <c r="AC20" s="120"/>
      <c r="AD20" s="120"/>
    </row>
    <row r="21">
      <c r="A21" s="66"/>
      <c r="B21" s="71"/>
      <c r="C21" s="71" t="s">
        <v>72</v>
      </c>
      <c r="D21" s="72"/>
      <c r="E21" s="73">
        <f>D21/D20</f>
        <v>0</v>
      </c>
      <c r="F21" s="9"/>
      <c r="G21" s="143"/>
      <c r="H21" s="142"/>
      <c r="I21" s="142"/>
      <c r="J21" s="42"/>
      <c r="K21" s="142"/>
      <c r="L21" s="2"/>
      <c r="M21" s="59">
        <v>45981.0</v>
      </c>
      <c r="N21" s="60" t="s">
        <v>237</v>
      </c>
      <c r="O21" s="60" t="s">
        <v>70</v>
      </c>
      <c r="P21" s="114" t="s">
        <v>23</v>
      </c>
      <c r="Q21" s="62">
        <v>12.2</v>
      </c>
      <c r="R21" s="60" t="s">
        <v>17</v>
      </c>
      <c r="S21" s="3"/>
      <c r="T21" s="142"/>
      <c r="U21" s="142"/>
      <c r="V21" s="42"/>
      <c r="W21" s="42"/>
      <c r="X21" s="42"/>
      <c r="Y21" s="48"/>
      <c r="Z21" s="42"/>
      <c r="AA21" s="119"/>
      <c r="AB21" s="120"/>
      <c r="AC21" s="120"/>
      <c r="AD21" s="120"/>
    </row>
    <row r="22">
      <c r="A22" s="66"/>
      <c r="B22" s="74"/>
      <c r="C22" s="75"/>
      <c r="D22" s="76"/>
      <c r="E22" s="15"/>
      <c r="F22" s="9"/>
      <c r="G22" s="143"/>
      <c r="H22" s="142"/>
      <c r="I22" s="142"/>
      <c r="J22" s="42"/>
      <c r="K22" s="142"/>
      <c r="L22" s="2"/>
      <c r="M22" s="59">
        <v>45981.0</v>
      </c>
      <c r="N22" s="60" t="s">
        <v>238</v>
      </c>
      <c r="O22" s="60" t="s">
        <v>66</v>
      </c>
      <c r="P22" s="60" t="s">
        <v>23</v>
      </c>
      <c r="Q22" s="62">
        <v>73.25</v>
      </c>
      <c r="R22" s="60" t="s">
        <v>17</v>
      </c>
      <c r="S22" s="3"/>
      <c r="T22" s="142"/>
      <c r="U22" s="142"/>
      <c r="V22" s="42"/>
      <c r="W22" s="42"/>
      <c r="X22" s="42"/>
      <c r="Y22" s="48"/>
      <c r="Z22" s="42"/>
      <c r="AA22" s="119"/>
      <c r="AB22" s="120"/>
      <c r="AC22" s="120"/>
      <c r="AD22" s="120"/>
    </row>
    <row r="23">
      <c r="A23" s="66"/>
      <c r="B23" s="24"/>
      <c r="C23" s="35"/>
      <c r="D23" s="77"/>
      <c r="E23" s="2"/>
      <c r="F23" s="9"/>
      <c r="G23" s="143"/>
      <c r="H23" s="142"/>
      <c r="I23" s="142"/>
      <c r="J23" s="42"/>
      <c r="K23" s="142"/>
      <c r="L23" s="2"/>
      <c r="M23" s="59">
        <v>45981.0</v>
      </c>
      <c r="N23" s="60" t="s">
        <v>239</v>
      </c>
      <c r="O23" s="60" t="s">
        <v>70</v>
      </c>
      <c r="P23" s="60" t="s">
        <v>23</v>
      </c>
      <c r="Q23" s="62">
        <v>25.96</v>
      </c>
      <c r="R23" s="60" t="s">
        <v>17</v>
      </c>
      <c r="S23" s="3"/>
      <c r="T23" s="142"/>
      <c r="U23" s="142"/>
      <c r="V23" s="42"/>
      <c r="W23" s="42"/>
      <c r="X23" s="42"/>
      <c r="Y23" s="48"/>
      <c r="Z23" s="42"/>
      <c r="AA23" s="119"/>
      <c r="AB23" s="120"/>
      <c r="AC23" s="120"/>
      <c r="AD23" s="120"/>
    </row>
    <row r="24">
      <c r="A24" s="66"/>
      <c r="B24" s="24"/>
      <c r="C24" s="35"/>
      <c r="D24" s="77"/>
      <c r="E24" s="2"/>
      <c r="F24" s="9"/>
      <c r="G24" s="143"/>
      <c r="H24" s="142"/>
      <c r="I24" s="142"/>
      <c r="J24" s="42"/>
      <c r="K24" s="142"/>
      <c r="L24" s="2"/>
      <c r="M24" s="59">
        <v>45982.0</v>
      </c>
      <c r="N24" s="60" t="s">
        <v>239</v>
      </c>
      <c r="O24" s="60" t="s">
        <v>70</v>
      </c>
      <c r="P24" s="60" t="s">
        <v>23</v>
      </c>
      <c r="Q24" s="62">
        <v>41.99</v>
      </c>
      <c r="R24" s="60" t="s">
        <v>17</v>
      </c>
      <c r="S24" s="3"/>
      <c r="T24" s="142"/>
      <c r="U24" s="142"/>
      <c r="V24" s="42"/>
      <c r="W24" s="42"/>
      <c r="X24" s="42"/>
      <c r="Y24" s="48"/>
      <c r="Z24" s="42"/>
      <c r="AA24" s="119"/>
      <c r="AB24" s="120"/>
      <c r="AC24" s="120"/>
      <c r="AD24" s="120"/>
    </row>
    <row r="25">
      <c r="A25" s="66"/>
      <c r="B25" s="24"/>
      <c r="C25" s="35"/>
      <c r="D25" s="77"/>
      <c r="E25" s="2"/>
      <c r="F25" s="9"/>
      <c r="G25" s="143"/>
      <c r="H25" s="142"/>
      <c r="I25" s="142"/>
      <c r="J25" s="42"/>
      <c r="K25" s="142"/>
      <c r="L25" s="2"/>
      <c r="M25" s="59">
        <v>45982.0</v>
      </c>
      <c r="N25" s="60" t="s">
        <v>240</v>
      </c>
      <c r="O25" s="60" t="s">
        <v>81</v>
      </c>
      <c r="P25" s="60" t="s">
        <v>23</v>
      </c>
      <c r="Q25" s="62">
        <v>8.0</v>
      </c>
      <c r="R25" s="60" t="s">
        <v>17</v>
      </c>
      <c r="S25" s="3"/>
      <c r="T25" s="142"/>
      <c r="U25" s="142"/>
      <c r="V25" s="42"/>
      <c r="W25" s="42"/>
      <c r="X25" s="42"/>
      <c r="Y25" s="48"/>
      <c r="Z25" s="42"/>
      <c r="AA25" s="119"/>
      <c r="AB25" s="120"/>
      <c r="AC25" s="120"/>
      <c r="AD25" s="120"/>
    </row>
    <row r="26">
      <c r="A26" s="66"/>
      <c r="B26" s="24"/>
      <c r="C26" s="35"/>
      <c r="D26" s="77"/>
      <c r="E26" s="2"/>
      <c r="F26" s="9"/>
      <c r="G26" s="143"/>
      <c r="H26" s="142"/>
      <c r="I26" s="142"/>
      <c r="J26" s="42"/>
      <c r="K26" s="142"/>
      <c r="L26" s="2"/>
      <c r="M26" s="59">
        <v>45982.0</v>
      </c>
      <c r="N26" s="60" t="s">
        <v>241</v>
      </c>
      <c r="O26" s="60" t="s">
        <v>70</v>
      </c>
      <c r="P26" s="60" t="s">
        <v>23</v>
      </c>
      <c r="Q26" s="62">
        <v>13.8</v>
      </c>
      <c r="R26" s="60" t="s">
        <v>17</v>
      </c>
      <c r="S26" s="3"/>
      <c r="T26" s="142"/>
      <c r="U26" s="142"/>
      <c r="V26" s="42"/>
      <c r="W26" s="42"/>
      <c r="X26" s="42"/>
      <c r="Y26" s="48"/>
      <c r="Z26" s="42"/>
      <c r="AA26" s="119"/>
      <c r="AB26" s="120"/>
      <c r="AC26" s="120"/>
      <c r="AD26" s="120"/>
    </row>
    <row r="27">
      <c r="A27" s="66"/>
      <c r="B27" s="24"/>
      <c r="C27" s="35"/>
      <c r="D27" s="77"/>
      <c r="E27" s="2"/>
      <c r="F27" s="9"/>
      <c r="G27" s="143"/>
      <c r="H27" s="142"/>
      <c r="I27" s="142"/>
      <c r="J27" s="42"/>
      <c r="K27" s="142"/>
      <c r="L27" s="2"/>
      <c r="M27" s="59">
        <v>45982.0</v>
      </c>
      <c r="N27" s="60" t="s">
        <v>242</v>
      </c>
      <c r="O27" s="60" t="s">
        <v>46</v>
      </c>
      <c r="P27" s="60" t="s">
        <v>23</v>
      </c>
      <c r="Q27" s="62">
        <v>55.0</v>
      </c>
      <c r="R27" s="60" t="s">
        <v>17</v>
      </c>
      <c r="S27" s="3"/>
      <c r="T27" s="142"/>
      <c r="U27" s="142"/>
      <c r="V27" s="42"/>
      <c r="W27" s="42"/>
      <c r="X27" s="42"/>
      <c r="Y27" s="48"/>
      <c r="Z27" s="42"/>
      <c r="AA27" s="119"/>
      <c r="AB27" s="120"/>
      <c r="AC27" s="120"/>
      <c r="AD27" s="120"/>
    </row>
    <row r="28">
      <c r="A28" s="66"/>
      <c r="B28" s="24"/>
      <c r="C28" s="35"/>
      <c r="D28" s="77"/>
      <c r="E28" s="2"/>
      <c r="F28" s="9"/>
      <c r="G28" s="143"/>
      <c r="H28" s="142"/>
      <c r="I28" s="142"/>
      <c r="J28" s="42"/>
      <c r="K28" s="142"/>
      <c r="L28" s="2"/>
      <c r="M28" s="59">
        <v>45982.0</v>
      </c>
      <c r="N28" s="60" t="s">
        <v>243</v>
      </c>
      <c r="O28" s="60" t="s">
        <v>70</v>
      </c>
      <c r="P28" s="60" t="s">
        <v>23</v>
      </c>
      <c r="Q28" s="62">
        <v>26.8</v>
      </c>
      <c r="R28" s="60" t="s">
        <v>17</v>
      </c>
      <c r="S28" s="3"/>
      <c r="T28" s="142"/>
      <c r="U28" s="142"/>
      <c r="V28" s="42"/>
      <c r="W28" s="42"/>
      <c r="X28" s="42"/>
      <c r="Y28" s="48"/>
      <c r="Z28" s="42"/>
      <c r="AA28" s="119"/>
      <c r="AB28" s="120"/>
      <c r="AC28" s="120"/>
      <c r="AD28" s="120"/>
    </row>
    <row r="29">
      <c r="A29" s="66"/>
      <c r="B29" s="24"/>
      <c r="C29" s="35"/>
      <c r="D29" s="77"/>
      <c r="E29" s="2"/>
      <c r="F29" s="9"/>
      <c r="G29" s="143"/>
      <c r="H29" s="142"/>
      <c r="I29" s="142"/>
      <c r="J29" s="42"/>
      <c r="K29" s="142"/>
      <c r="L29" s="2"/>
      <c r="M29" s="59">
        <v>45982.0</v>
      </c>
      <c r="N29" s="60" t="s">
        <v>244</v>
      </c>
      <c r="O29" s="60" t="s">
        <v>70</v>
      </c>
      <c r="P29" s="60" t="s">
        <v>23</v>
      </c>
      <c r="Q29" s="62">
        <v>18.15</v>
      </c>
      <c r="R29" s="60" t="s">
        <v>17</v>
      </c>
      <c r="S29" s="3"/>
      <c r="T29" s="142"/>
      <c r="U29" s="142"/>
      <c r="V29" s="42"/>
      <c r="W29" s="42"/>
      <c r="X29" s="42"/>
      <c r="Y29" s="48"/>
      <c r="Z29" s="42"/>
      <c r="AA29" s="119"/>
      <c r="AB29" s="120"/>
      <c r="AC29" s="120"/>
      <c r="AD29" s="120"/>
    </row>
    <row r="30">
      <c r="A30" s="66"/>
      <c r="B30" s="24"/>
      <c r="C30" s="35"/>
      <c r="D30" s="77"/>
      <c r="E30" s="2"/>
      <c r="F30" s="9"/>
      <c r="G30" s="143"/>
      <c r="H30" s="142"/>
      <c r="I30" s="142"/>
      <c r="J30" s="42"/>
      <c r="K30" s="142"/>
      <c r="L30" s="2"/>
      <c r="M30" s="59">
        <v>45984.0</v>
      </c>
      <c r="N30" s="60" t="s">
        <v>32</v>
      </c>
      <c r="O30" s="60" t="s">
        <v>27</v>
      </c>
      <c r="P30" s="60" t="s">
        <v>23</v>
      </c>
      <c r="Q30" s="62">
        <v>25.28</v>
      </c>
      <c r="R30" s="60" t="s">
        <v>17</v>
      </c>
      <c r="S30" s="3"/>
      <c r="T30" s="142"/>
      <c r="U30" s="142"/>
      <c r="V30" s="42"/>
      <c r="W30" s="42"/>
      <c r="X30" s="42"/>
      <c r="Y30" s="48"/>
      <c r="Z30" s="42"/>
      <c r="AA30" s="119"/>
      <c r="AB30" s="120"/>
      <c r="AC30" s="120"/>
      <c r="AD30" s="120"/>
    </row>
    <row r="31">
      <c r="A31" s="66"/>
      <c r="B31" s="24"/>
      <c r="C31" s="35"/>
      <c r="D31" s="77"/>
      <c r="E31" s="2"/>
      <c r="F31" s="9"/>
      <c r="G31" s="143"/>
      <c r="H31" s="142"/>
      <c r="I31" s="142"/>
      <c r="J31" s="42"/>
      <c r="K31" s="142"/>
      <c r="L31" s="2"/>
      <c r="M31" s="59">
        <v>45985.0</v>
      </c>
      <c r="N31" s="60" t="s">
        <v>245</v>
      </c>
      <c r="O31" s="60" t="s">
        <v>59</v>
      </c>
      <c r="P31" s="60" t="s">
        <v>23</v>
      </c>
      <c r="Q31" s="62">
        <v>35.97</v>
      </c>
      <c r="R31" s="60" t="s">
        <v>17</v>
      </c>
      <c r="S31" s="3"/>
      <c r="T31" s="142"/>
      <c r="U31" s="142"/>
      <c r="V31" s="42"/>
      <c r="W31" s="42"/>
      <c r="X31" s="42"/>
      <c r="Y31" s="48"/>
      <c r="Z31" s="42"/>
      <c r="AA31" s="119"/>
      <c r="AB31" s="120"/>
      <c r="AC31" s="120"/>
      <c r="AD31" s="120"/>
    </row>
    <row r="32">
      <c r="A32" s="66"/>
      <c r="B32" s="24"/>
      <c r="C32" s="35"/>
      <c r="D32" s="77"/>
      <c r="E32" s="2"/>
      <c r="F32" s="9"/>
      <c r="G32" s="143"/>
      <c r="H32" s="142"/>
      <c r="I32" s="142"/>
      <c r="J32" s="42"/>
      <c r="K32" s="142"/>
      <c r="L32" s="2"/>
      <c r="M32" s="59">
        <v>45985.0</v>
      </c>
      <c r="N32" s="60" t="s">
        <v>200</v>
      </c>
      <c r="O32" s="60" t="s">
        <v>70</v>
      </c>
      <c r="P32" s="60" t="s">
        <v>23</v>
      </c>
      <c r="Q32" s="62">
        <v>19.6</v>
      </c>
      <c r="R32" s="60" t="s">
        <v>17</v>
      </c>
      <c r="S32" s="3"/>
      <c r="T32" s="142"/>
      <c r="U32" s="142"/>
      <c r="V32" s="42"/>
      <c r="W32" s="42"/>
      <c r="X32" s="42"/>
      <c r="Y32" s="48"/>
      <c r="Z32" s="42"/>
      <c r="AA32" s="119"/>
      <c r="AB32" s="120"/>
      <c r="AC32" s="120"/>
      <c r="AD32" s="120"/>
    </row>
    <row r="33">
      <c r="A33" s="66"/>
      <c r="B33" s="24"/>
      <c r="C33" s="35"/>
      <c r="D33" s="77"/>
      <c r="E33" s="2"/>
      <c r="F33" s="9"/>
      <c r="G33" s="143"/>
      <c r="H33" s="142"/>
      <c r="I33" s="142"/>
      <c r="J33" s="42"/>
      <c r="K33" s="142"/>
      <c r="L33" s="2"/>
      <c r="M33" s="61">
        <v>45985.0</v>
      </c>
      <c r="N33" s="60" t="s">
        <v>246</v>
      </c>
      <c r="O33" s="60" t="s">
        <v>27</v>
      </c>
      <c r="P33" s="61">
        <v>45689.0</v>
      </c>
      <c r="Q33" s="62">
        <v>75.0</v>
      </c>
      <c r="R33" s="60" t="s">
        <v>17</v>
      </c>
      <c r="S33" s="3"/>
      <c r="T33" s="142"/>
      <c r="U33" s="142"/>
      <c r="V33" s="42"/>
      <c r="W33" s="42"/>
      <c r="X33" s="42"/>
      <c r="Y33" s="48"/>
      <c r="Z33" s="42"/>
      <c r="AA33" s="119"/>
      <c r="AB33" s="120"/>
      <c r="AC33" s="120"/>
      <c r="AD33" s="120"/>
    </row>
    <row r="34">
      <c r="A34" s="66"/>
      <c r="B34" s="24"/>
      <c r="C34" s="35"/>
      <c r="D34" s="77"/>
      <c r="E34" s="2"/>
      <c r="F34" s="9"/>
      <c r="G34" s="143"/>
      <c r="H34" s="142"/>
      <c r="I34" s="142"/>
      <c r="J34" s="42"/>
      <c r="K34" s="142"/>
      <c r="L34" s="2"/>
      <c r="M34" s="59">
        <v>45985.0</v>
      </c>
      <c r="N34" s="60" t="s">
        <v>247</v>
      </c>
      <c r="O34" s="60" t="s">
        <v>16</v>
      </c>
      <c r="P34" s="61">
        <v>45689.0</v>
      </c>
      <c r="Q34" s="62">
        <v>75.0</v>
      </c>
      <c r="R34" s="60" t="s">
        <v>17</v>
      </c>
      <c r="S34" s="3"/>
      <c r="T34" s="142"/>
      <c r="U34" s="142"/>
      <c r="V34" s="42"/>
      <c r="W34" s="42"/>
      <c r="X34" s="42"/>
      <c r="Y34" s="48"/>
      <c r="Z34" s="42"/>
      <c r="AA34" s="119"/>
      <c r="AB34" s="120"/>
      <c r="AC34" s="120"/>
      <c r="AD34" s="120"/>
    </row>
    <row r="35">
      <c r="A35" s="66"/>
      <c r="B35" s="24"/>
      <c r="C35" s="35"/>
      <c r="D35" s="77"/>
      <c r="E35" s="2"/>
      <c r="F35" s="9"/>
      <c r="G35" s="143"/>
      <c r="H35" s="142"/>
      <c r="I35" s="142"/>
      <c r="J35" s="42"/>
      <c r="K35" s="142"/>
      <c r="L35" s="2"/>
      <c r="M35" s="59">
        <v>45985.0</v>
      </c>
      <c r="N35" s="60" t="s">
        <v>248</v>
      </c>
      <c r="O35" s="60" t="s">
        <v>19</v>
      </c>
      <c r="P35" s="61">
        <v>45992.0</v>
      </c>
      <c r="Q35" s="62">
        <v>1035.39</v>
      </c>
      <c r="R35" s="60" t="s">
        <v>17</v>
      </c>
      <c r="S35" s="3"/>
      <c r="T35" s="142"/>
      <c r="U35" s="142"/>
      <c r="V35" s="42"/>
      <c r="W35" s="42"/>
      <c r="X35" s="42"/>
      <c r="Y35" s="48"/>
      <c r="Z35" s="42"/>
      <c r="AA35" s="119"/>
      <c r="AB35" s="120"/>
      <c r="AC35" s="120"/>
      <c r="AD35" s="120"/>
    </row>
    <row r="36">
      <c r="A36" s="66"/>
      <c r="B36" s="24"/>
      <c r="C36" s="35"/>
      <c r="D36" s="77"/>
      <c r="E36" s="2"/>
      <c r="F36" s="9"/>
      <c r="G36" s="143"/>
      <c r="H36" s="142"/>
      <c r="I36" s="142"/>
      <c r="J36" s="42"/>
      <c r="K36" s="142"/>
      <c r="L36" s="2"/>
      <c r="M36" s="59">
        <v>45986.0</v>
      </c>
      <c r="N36" s="60" t="s">
        <v>99</v>
      </c>
      <c r="O36" s="60" t="s">
        <v>81</v>
      </c>
      <c r="P36" s="60" t="s">
        <v>23</v>
      </c>
      <c r="Q36" s="62">
        <v>40.55</v>
      </c>
      <c r="R36" s="60" t="s">
        <v>17</v>
      </c>
      <c r="S36" s="3"/>
      <c r="T36" s="142"/>
      <c r="U36" s="142"/>
      <c r="V36" s="42"/>
      <c r="W36" s="42"/>
      <c r="X36" s="42"/>
      <c r="Y36" s="48"/>
      <c r="Z36" s="42"/>
      <c r="AA36" s="119"/>
      <c r="AB36" s="120"/>
      <c r="AC36" s="120"/>
      <c r="AD36" s="120"/>
    </row>
    <row r="37">
      <c r="A37" s="66"/>
      <c r="B37" s="24"/>
      <c r="C37" s="35"/>
      <c r="D37" s="77"/>
      <c r="E37" s="2"/>
      <c r="F37" s="9"/>
      <c r="G37" s="143"/>
      <c r="H37" s="142"/>
      <c r="I37" s="142"/>
      <c r="J37" s="42"/>
      <c r="K37" s="142"/>
      <c r="L37" s="2"/>
      <c r="M37" s="59">
        <v>45986.0</v>
      </c>
      <c r="N37" s="60" t="s">
        <v>249</v>
      </c>
      <c r="O37" s="60" t="s">
        <v>50</v>
      </c>
      <c r="P37" s="60" t="s">
        <v>23</v>
      </c>
      <c r="Q37" s="62">
        <v>67.73</v>
      </c>
      <c r="R37" s="60" t="s">
        <v>17</v>
      </c>
      <c r="S37" s="3"/>
      <c r="T37" s="142"/>
      <c r="U37" s="142"/>
      <c r="V37" s="42"/>
      <c r="W37" s="42"/>
      <c r="X37" s="42"/>
      <c r="Y37" s="48"/>
      <c r="Z37" s="42"/>
      <c r="AA37" s="119"/>
      <c r="AB37" s="120"/>
      <c r="AC37" s="120"/>
      <c r="AD37" s="120"/>
    </row>
    <row r="38">
      <c r="A38" s="66"/>
      <c r="B38" s="24"/>
      <c r="C38" s="35"/>
      <c r="D38" s="77"/>
      <c r="E38" s="2"/>
      <c r="F38" s="9"/>
      <c r="G38" s="143"/>
      <c r="H38" s="142"/>
      <c r="I38" s="142"/>
      <c r="J38" s="42"/>
      <c r="K38" s="142"/>
      <c r="L38" s="2"/>
      <c r="M38" s="59">
        <v>45986.0</v>
      </c>
      <c r="N38" s="60" t="s">
        <v>250</v>
      </c>
      <c r="O38" s="60" t="s">
        <v>70</v>
      </c>
      <c r="P38" s="60" t="s">
        <v>23</v>
      </c>
      <c r="Q38" s="62">
        <v>13.3</v>
      </c>
      <c r="R38" s="60" t="s">
        <v>17</v>
      </c>
      <c r="S38" s="3"/>
      <c r="T38" s="142"/>
      <c r="U38" s="142"/>
      <c r="V38" s="42"/>
      <c r="W38" s="42"/>
      <c r="X38" s="42"/>
      <c r="Y38" s="48"/>
      <c r="Z38" s="42"/>
      <c r="AA38" s="119"/>
      <c r="AB38" s="120"/>
      <c r="AC38" s="120"/>
      <c r="AD38" s="120"/>
    </row>
    <row r="39">
      <c r="A39" s="66"/>
      <c r="B39" s="24"/>
      <c r="C39" s="35"/>
      <c r="D39" s="77"/>
      <c r="E39" s="2"/>
      <c r="F39" s="9"/>
      <c r="G39" s="143"/>
      <c r="H39" s="142"/>
      <c r="I39" s="142"/>
      <c r="J39" s="42"/>
      <c r="K39" s="142"/>
      <c r="L39" s="2"/>
      <c r="M39" s="59">
        <v>45986.0</v>
      </c>
      <c r="N39" s="60" t="s">
        <v>251</v>
      </c>
      <c r="O39" s="60" t="s">
        <v>70</v>
      </c>
      <c r="P39" s="60" t="s">
        <v>23</v>
      </c>
      <c r="Q39" s="62">
        <v>32.2</v>
      </c>
      <c r="R39" s="60" t="s">
        <v>17</v>
      </c>
      <c r="S39" s="3"/>
      <c r="T39" s="142"/>
      <c r="U39" s="142"/>
      <c r="V39" s="42"/>
      <c r="W39" s="42"/>
      <c r="X39" s="42"/>
      <c r="Y39" s="48"/>
      <c r="Z39" s="42"/>
      <c r="AA39" s="119"/>
      <c r="AB39" s="120"/>
      <c r="AC39" s="120"/>
      <c r="AD39" s="120"/>
    </row>
    <row r="40">
      <c r="A40" s="66"/>
      <c r="B40" s="24"/>
      <c r="C40" s="35"/>
      <c r="D40" s="77"/>
      <c r="E40" s="2"/>
      <c r="F40" s="9"/>
      <c r="G40" s="143"/>
      <c r="H40" s="142"/>
      <c r="I40" s="142"/>
      <c r="J40" s="42"/>
      <c r="K40" s="142"/>
      <c r="L40" s="2"/>
      <c r="M40" s="59">
        <v>45986.0</v>
      </c>
      <c r="N40" s="60" t="s">
        <v>252</v>
      </c>
      <c r="O40" s="60" t="s">
        <v>16</v>
      </c>
      <c r="P40" s="61">
        <v>45992.0</v>
      </c>
      <c r="Q40" s="62">
        <v>91.74</v>
      </c>
      <c r="R40" s="60" t="s">
        <v>17</v>
      </c>
      <c r="S40" s="3"/>
      <c r="T40" s="142"/>
      <c r="U40" s="142"/>
      <c r="V40" s="42"/>
      <c r="W40" s="42"/>
      <c r="X40" s="42"/>
      <c r="Y40" s="48"/>
      <c r="Z40" s="42"/>
      <c r="AA40" s="119"/>
      <c r="AB40" s="120"/>
      <c r="AC40" s="120"/>
      <c r="AD40" s="120"/>
    </row>
    <row r="41">
      <c r="A41" s="66"/>
      <c r="B41" s="24"/>
      <c r="C41" s="35"/>
      <c r="D41" s="77"/>
      <c r="E41" s="2"/>
      <c r="F41" s="9"/>
      <c r="G41" s="143"/>
      <c r="H41" s="142"/>
      <c r="I41" s="142"/>
      <c r="J41" s="42"/>
      <c r="K41" s="142"/>
      <c r="L41" s="2"/>
      <c r="M41" s="40">
        <v>45987.0</v>
      </c>
      <c r="N41" s="37" t="s">
        <v>136</v>
      </c>
      <c r="O41" s="37" t="s">
        <v>70</v>
      </c>
      <c r="P41" s="38" t="s">
        <v>23</v>
      </c>
      <c r="Q41" s="38">
        <v>22.2</v>
      </c>
      <c r="R41" s="37" t="s">
        <v>17</v>
      </c>
      <c r="S41" s="3"/>
      <c r="T41" s="142"/>
      <c r="U41" s="142"/>
      <c r="V41" s="42"/>
      <c r="W41" s="42"/>
      <c r="X41" s="42"/>
      <c r="Y41" s="48"/>
      <c r="Z41" s="42"/>
      <c r="AA41" s="119"/>
      <c r="AB41" s="120"/>
      <c r="AC41" s="120"/>
      <c r="AD41" s="120"/>
    </row>
    <row r="42">
      <c r="A42" s="66"/>
      <c r="B42" s="24"/>
      <c r="C42" s="35"/>
      <c r="D42" s="77"/>
      <c r="E42" s="2"/>
      <c r="F42" s="9"/>
      <c r="G42" s="143"/>
      <c r="H42" s="142"/>
      <c r="I42" s="142"/>
      <c r="J42" s="42"/>
      <c r="K42" s="142"/>
      <c r="L42" s="2"/>
      <c r="M42" s="59">
        <v>45988.0</v>
      </c>
      <c r="N42" s="60" t="s">
        <v>176</v>
      </c>
      <c r="O42" s="60" t="s">
        <v>81</v>
      </c>
      <c r="P42" s="60" t="s">
        <v>23</v>
      </c>
      <c r="Q42" s="62">
        <v>3.5</v>
      </c>
      <c r="R42" s="60" t="s">
        <v>17</v>
      </c>
      <c r="S42" s="3"/>
      <c r="T42" s="142"/>
      <c r="U42" s="142"/>
      <c r="V42" s="42"/>
      <c r="W42" s="42"/>
      <c r="X42" s="42"/>
      <c r="Y42" s="48"/>
      <c r="Z42" s="42"/>
      <c r="AA42" s="119"/>
      <c r="AB42" s="120"/>
      <c r="AC42" s="120"/>
      <c r="AD42" s="120"/>
    </row>
    <row r="43">
      <c r="A43" s="66"/>
      <c r="B43" s="24"/>
      <c r="C43" s="35"/>
      <c r="D43" s="77"/>
      <c r="E43" s="2"/>
      <c r="F43" s="9"/>
      <c r="G43" s="143"/>
      <c r="H43" s="142"/>
      <c r="I43" s="142"/>
      <c r="J43" s="42"/>
      <c r="K43" s="142"/>
      <c r="L43" s="2"/>
      <c r="M43" s="59">
        <v>45988.0</v>
      </c>
      <c r="N43" s="60" t="s">
        <v>207</v>
      </c>
      <c r="O43" s="60" t="s">
        <v>70</v>
      </c>
      <c r="P43" s="60" t="s">
        <v>23</v>
      </c>
      <c r="Q43" s="62">
        <v>21.95</v>
      </c>
      <c r="R43" s="60" t="s">
        <v>17</v>
      </c>
      <c r="S43" s="3"/>
      <c r="T43" s="142"/>
      <c r="U43" s="142"/>
      <c r="V43" s="42"/>
      <c r="W43" s="42"/>
      <c r="X43" s="42"/>
      <c r="Y43" s="48"/>
      <c r="Z43" s="42"/>
      <c r="AA43" s="119"/>
      <c r="AB43" s="120"/>
      <c r="AC43" s="120"/>
      <c r="AD43" s="120"/>
    </row>
    <row r="44">
      <c r="A44" s="66"/>
      <c r="B44" s="24"/>
      <c r="C44" s="35"/>
      <c r="D44" s="77"/>
      <c r="E44" s="2"/>
      <c r="F44" s="9"/>
      <c r="G44" s="143"/>
      <c r="H44" s="142"/>
      <c r="I44" s="142"/>
      <c r="J44" s="42"/>
      <c r="K44" s="142"/>
      <c r="L44" s="2"/>
      <c r="M44" s="59">
        <v>45989.0</v>
      </c>
      <c r="N44" s="60" t="s">
        <v>253</v>
      </c>
      <c r="O44" s="60" t="s">
        <v>229</v>
      </c>
      <c r="P44" s="61">
        <v>45992.0</v>
      </c>
      <c r="Q44" s="62">
        <v>286.49</v>
      </c>
      <c r="R44" s="60" t="s">
        <v>17</v>
      </c>
      <c r="S44" s="3"/>
      <c r="T44" s="142"/>
      <c r="U44" s="142"/>
      <c r="V44" s="42"/>
      <c r="W44" s="42"/>
      <c r="X44" s="42"/>
      <c r="Y44" s="48"/>
      <c r="Z44" s="42"/>
      <c r="AA44" s="119"/>
      <c r="AB44" s="120"/>
      <c r="AC44" s="120"/>
      <c r="AD44" s="120"/>
    </row>
    <row r="45">
      <c r="A45" s="66"/>
      <c r="B45" s="24"/>
      <c r="C45" s="79" t="s">
        <v>77</v>
      </c>
      <c r="D45" s="17"/>
      <c r="E45" s="18"/>
      <c r="F45" s="9"/>
      <c r="G45" s="143"/>
      <c r="H45" s="142"/>
      <c r="I45" s="142"/>
      <c r="J45" s="42"/>
      <c r="K45" s="142"/>
      <c r="L45" s="2"/>
      <c r="M45" s="59">
        <v>45989.0</v>
      </c>
      <c r="N45" s="60" t="s">
        <v>254</v>
      </c>
      <c r="O45" s="60" t="s">
        <v>27</v>
      </c>
      <c r="P45" s="61">
        <v>45717.0</v>
      </c>
      <c r="Q45" s="62">
        <v>90.92</v>
      </c>
      <c r="R45" s="60" t="s">
        <v>17</v>
      </c>
      <c r="S45" s="3"/>
      <c r="T45" s="142"/>
      <c r="U45" s="142"/>
      <c r="V45" s="42"/>
      <c r="W45" s="42"/>
      <c r="X45" s="42"/>
      <c r="Y45" s="48"/>
      <c r="Z45" s="42"/>
      <c r="AA45" s="119"/>
      <c r="AB45" s="120"/>
      <c r="AC45" s="120"/>
      <c r="AD45" s="120"/>
    </row>
    <row r="46">
      <c r="A46" s="66"/>
      <c r="B46" s="24"/>
      <c r="C46" s="80"/>
      <c r="D46" s="81" t="s">
        <v>79</v>
      </c>
      <c r="E46" s="82" t="s">
        <v>14</v>
      </c>
      <c r="F46" s="9"/>
      <c r="G46" s="143"/>
      <c r="H46" s="142"/>
      <c r="I46" s="142"/>
      <c r="J46" s="42"/>
      <c r="K46" s="142"/>
      <c r="L46" s="2"/>
      <c r="M46" s="59">
        <v>45990.0</v>
      </c>
      <c r="N46" s="60" t="s">
        <v>255</v>
      </c>
      <c r="O46" s="60" t="s">
        <v>66</v>
      </c>
      <c r="P46" s="60" t="s">
        <v>23</v>
      </c>
      <c r="Q46" s="62">
        <v>69.19</v>
      </c>
      <c r="R46" s="60" t="s">
        <v>17</v>
      </c>
      <c r="S46" s="3"/>
      <c r="T46" s="142"/>
      <c r="U46" s="142"/>
      <c r="V46" s="42"/>
      <c r="W46" s="42"/>
      <c r="X46" s="42"/>
      <c r="Y46" s="48"/>
      <c r="Z46" s="42"/>
      <c r="AA46" s="119"/>
      <c r="AB46" s="120"/>
      <c r="AC46" s="120"/>
      <c r="AD46" s="120"/>
    </row>
    <row r="47">
      <c r="A47" s="66"/>
      <c r="B47" s="24"/>
      <c r="C47" s="82" t="s">
        <v>82</v>
      </c>
      <c r="D47" s="83"/>
      <c r="E47" s="83"/>
      <c r="F47" s="9"/>
      <c r="G47" s="143"/>
      <c r="H47" s="142"/>
      <c r="I47" s="142"/>
      <c r="J47" s="42"/>
      <c r="K47" s="142"/>
      <c r="L47" s="2"/>
      <c r="M47" s="59">
        <v>45990.0</v>
      </c>
      <c r="N47" s="60" t="s">
        <v>256</v>
      </c>
      <c r="O47" s="60" t="s">
        <v>70</v>
      </c>
      <c r="P47" s="60" t="s">
        <v>23</v>
      </c>
      <c r="Q47" s="62">
        <v>25.93</v>
      </c>
      <c r="R47" s="60" t="s">
        <v>17</v>
      </c>
      <c r="S47" s="3"/>
      <c r="T47" s="142"/>
      <c r="U47" s="142"/>
      <c r="V47" s="42"/>
      <c r="W47" s="42"/>
      <c r="X47" s="42"/>
      <c r="Y47" s="48"/>
      <c r="Z47" s="42"/>
      <c r="AA47" s="119"/>
      <c r="AB47" s="120"/>
      <c r="AC47" s="120"/>
      <c r="AD47" s="120"/>
    </row>
    <row r="48">
      <c r="A48" s="66"/>
      <c r="B48" s="24"/>
      <c r="C48" s="82" t="s">
        <v>84</v>
      </c>
      <c r="D48" s="129">
        <f>D20</f>
        <v>8976.66</v>
      </c>
      <c r="E48" s="42"/>
      <c r="F48" s="9"/>
      <c r="G48" s="143"/>
      <c r="H48" s="142"/>
      <c r="I48" s="142"/>
      <c r="J48" s="42"/>
      <c r="K48" s="142"/>
      <c r="L48" s="2"/>
      <c r="M48" s="59">
        <v>45991.0</v>
      </c>
      <c r="N48" s="60" t="s">
        <v>257</v>
      </c>
      <c r="O48" s="60" t="s">
        <v>66</v>
      </c>
      <c r="P48" s="60" t="s">
        <v>23</v>
      </c>
      <c r="Q48" s="62">
        <v>45.45</v>
      </c>
      <c r="R48" s="60" t="s">
        <v>17</v>
      </c>
      <c r="S48" s="3"/>
      <c r="T48" s="142"/>
      <c r="U48" s="142"/>
      <c r="V48" s="42"/>
      <c r="W48" s="42"/>
      <c r="X48" s="42"/>
      <c r="Y48" s="48"/>
      <c r="Z48" s="42"/>
      <c r="AA48" s="119"/>
      <c r="AB48" s="120"/>
      <c r="AC48" s="120"/>
      <c r="AD48" s="120"/>
    </row>
    <row r="49">
      <c r="A49" s="66"/>
      <c r="B49" s="24"/>
      <c r="C49" s="82" t="s">
        <v>85</v>
      </c>
      <c r="D49" s="42">
        <f>SUMIF(R7:R95,"Itaú",Q7:Q95) + SUMIF(K7:K95,"Itaú",J7:J95)</f>
        <v>4607.17</v>
      </c>
      <c r="E49" s="38"/>
      <c r="F49" s="9"/>
      <c r="G49" s="143"/>
      <c r="H49" s="142"/>
      <c r="I49" s="142"/>
      <c r="J49" s="42"/>
      <c r="K49" s="142"/>
      <c r="L49" s="2"/>
      <c r="M49" s="59">
        <v>45991.0</v>
      </c>
      <c r="N49" s="60" t="s">
        <v>258</v>
      </c>
      <c r="O49" s="60" t="s">
        <v>66</v>
      </c>
      <c r="P49" s="60" t="s">
        <v>23</v>
      </c>
      <c r="Q49" s="62">
        <v>38.0</v>
      </c>
      <c r="R49" s="60" t="s">
        <v>17</v>
      </c>
      <c r="S49" s="3"/>
      <c r="T49" s="142"/>
      <c r="U49" s="142"/>
      <c r="V49" s="42"/>
      <c r="W49" s="42"/>
      <c r="X49" s="42"/>
      <c r="Y49" s="48"/>
      <c r="Z49" s="42"/>
      <c r="AA49" s="119"/>
      <c r="AB49" s="120"/>
      <c r="AC49" s="120"/>
      <c r="AD49" s="120"/>
    </row>
    <row r="50">
      <c r="A50" s="66"/>
      <c r="B50" s="24"/>
      <c r="C50" s="82" t="s">
        <v>87</v>
      </c>
      <c r="D50" s="42"/>
      <c r="E50" s="42"/>
      <c r="F50" s="9"/>
      <c r="G50" s="143"/>
      <c r="H50" s="142"/>
      <c r="I50" s="142"/>
      <c r="J50" s="42"/>
      <c r="K50" s="142"/>
      <c r="L50" s="2"/>
      <c r="M50" s="59">
        <v>45991.0</v>
      </c>
      <c r="N50" s="60" t="s">
        <v>259</v>
      </c>
      <c r="O50" s="60" t="s">
        <v>66</v>
      </c>
      <c r="P50" s="60" t="s">
        <v>23</v>
      </c>
      <c r="Q50" s="62">
        <v>36.0</v>
      </c>
      <c r="R50" s="60" t="s">
        <v>17</v>
      </c>
      <c r="S50" s="3"/>
      <c r="T50" s="142"/>
      <c r="U50" s="142"/>
      <c r="V50" s="42"/>
      <c r="W50" s="42"/>
      <c r="X50" s="42"/>
      <c r="Y50" s="48"/>
      <c r="Z50" s="42"/>
      <c r="AA50" s="119"/>
      <c r="AB50" s="120"/>
      <c r="AC50" s="120"/>
      <c r="AD50" s="120"/>
    </row>
    <row r="51">
      <c r="A51" s="66"/>
      <c r="B51" s="24"/>
      <c r="C51" s="82" t="s">
        <v>89</v>
      </c>
      <c r="D51" s="130">
        <f>SUM(J96,Q96)</f>
        <v>5196.89</v>
      </c>
      <c r="E51" s="42"/>
      <c r="F51" s="9"/>
      <c r="G51" s="143"/>
      <c r="H51" s="142"/>
      <c r="I51" s="142"/>
      <c r="J51" s="42"/>
      <c r="K51" s="142"/>
      <c r="L51" s="2"/>
      <c r="M51" s="59">
        <v>45991.0</v>
      </c>
      <c r="N51" s="60" t="s">
        <v>260</v>
      </c>
      <c r="O51" s="60" t="s">
        <v>70</v>
      </c>
      <c r="P51" s="60" t="s">
        <v>23</v>
      </c>
      <c r="Q51" s="62">
        <v>51.05</v>
      </c>
      <c r="R51" s="60" t="s">
        <v>17</v>
      </c>
      <c r="S51" s="3"/>
      <c r="T51" s="142"/>
      <c r="U51" s="142"/>
      <c r="V51" s="42"/>
      <c r="W51" s="42"/>
      <c r="X51" s="42"/>
      <c r="Y51" s="48"/>
      <c r="Z51" s="42"/>
      <c r="AA51" s="119"/>
      <c r="AB51" s="120"/>
      <c r="AC51" s="120"/>
      <c r="AD51" s="120"/>
    </row>
    <row r="52">
      <c r="A52" s="66"/>
      <c r="B52" s="24"/>
      <c r="C52" s="82" t="s">
        <v>91</v>
      </c>
      <c r="D52" s="42">
        <f>V96</f>
        <v>0</v>
      </c>
      <c r="E52" s="42"/>
      <c r="F52" s="9"/>
      <c r="G52" s="143"/>
      <c r="H52" s="142"/>
      <c r="I52" s="142"/>
      <c r="J52" s="42"/>
      <c r="K52" s="142"/>
      <c r="L52" s="2"/>
      <c r="M52" s="40">
        <v>45992.0</v>
      </c>
      <c r="N52" s="37" t="s">
        <v>208</v>
      </c>
      <c r="O52" s="37" t="s">
        <v>81</v>
      </c>
      <c r="P52" s="37" t="s">
        <v>23</v>
      </c>
      <c r="Q52" s="38">
        <v>29.0</v>
      </c>
      <c r="R52" s="37" t="s">
        <v>17</v>
      </c>
      <c r="S52" s="3"/>
      <c r="T52" s="142"/>
      <c r="U52" s="142"/>
      <c r="V52" s="42"/>
      <c r="W52" s="42"/>
      <c r="X52" s="42"/>
      <c r="Y52" s="48"/>
      <c r="Z52" s="42"/>
      <c r="AA52" s="119"/>
      <c r="AB52" s="120"/>
      <c r="AC52" s="120"/>
      <c r="AD52" s="120"/>
    </row>
    <row r="53">
      <c r="A53" s="66"/>
      <c r="B53" s="24"/>
      <c r="C53" s="84" t="s">
        <v>93</v>
      </c>
      <c r="D53" s="85">
        <f>SUM(D47,D48)- SUM(D51,D52)</f>
        <v>3779.77</v>
      </c>
      <c r="E53" s="86"/>
      <c r="F53" s="9"/>
      <c r="G53" s="143"/>
      <c r="H53" s="142"/>
      <c r="I53" s="142"/>
      <c r="J53" s="42"/>
      <c r="K53" s="142"/>
      <c r="L53" s="2"/>
      <c r="M53" s="59">
        <v>45992.0</v>
      </c>
      <c r="N53" s="60" t="s">
        <v>261</v>
      </c>
      <c r="O53" s="60" t="s">
        <v>66</v>
      </c>
      <c r="P53" s="60" t="s">
        <v>23</v>
      </c>
      <c r="Q53" s="62">
        <v>276.0</v>
      </c>
      <c r="R53" s="60" t="s">
        <v>17</v>
      </c>
      <c r="S53" s="3"/>
      <c r="T53" s="142"/>
      <c r="U53" s="142"/>
      <c r="V53" s="42"/>
      <c r="W53" s="42"/>
      <c r="X53" s="42"/>
      <c r="Y53" s="48"/>
      <c r="Z53" s="42"/>
      <c r="AA53" s="119"/>
      <c r="AB53" s="120"/>
      <c r="AC53" s="120"/>
      <c r="AD53" s="120"/>
    </row>
    <row r="54">
      <c r="A54" s="66"/>
      <c r="B54" s="24"/>
      <c r="C54" s="35"/>
      <c r="D54" s="77"/>
      <c r="E54" s="2"/>
      <c r="F54" s="9"/>
      <c r="G54" s="143"/>
      <c r="H54" s="142"/>
      <c r="I54" s="142"/>
      <c r="J54" s="42"/>
      <c r="K54" s="142"/>
      <c r="L54" s="2"/>
      <c r="M54" s="59">
        <v>45993.0</v>
      </c>
      <c r="N54" s="60" t="s">
        <v>136</v>
      </c>
      <c r="O54" s="60" t="s">
        <v>70</v>
      </c>
      <c r="P54" s="60" t="s">
        <v>23</v>
      </c>
      <c r="Q54" s="62">
        <v>20.9</v>
      </c>
      <c r="R54" s="60" t="s">
        <v>17</v>
      </c>
      <c r="S54" s="3"/>
      <c r="T54" s="142"/>
      <c r="U54" s="142"/>
      <c r="V54" s="42"/>
      <c r="W54" s="42"/>
      <c r="X54" s="42"/>
      <c r="Y54" s="48"/>
      <c r="Z54" s="42"/>
      <c r="AA54" s="119"/>
      <c r="AB54" s="120"/>
      <c r="AC54" s="120"/>
      <c r="AD54" s="120"/>
    </row>
    <row r="55">
      <c r="A55" s="66"/>
      <c r="B55" s="24"/>
      <c r="C55" s="35"/>
      <c r="D55" s="77"/>
      <c r="E55" s="2"/>
      <c r="F55" s="9"/>
      <c r="G55" s="143"/>
      <c r="H55" s="142"/>
      <c r="I55" s="142"/>
      <c r="J55" s="42"/>
      <c r="K55" s="142"/>
      <c r="L55" s="2"/>
      <c r="M55" s="59">
        <v>45994.0</v>
      </c>
      <c r="N55" s="60" t="s">
        <v>262</v>
      </c>
      <c r="O55" s="60" t="s">
        <v>81</v>
      </c>
      <c r="P55" s="60" t="s">
        <v>23</v>
      </c>
      <c r="Q55" s="62">
        <v>55.71</v>
      </c>
      <c r="R55" s="60" t="s">
        <v>17</v>
      </c>
      <c r="S55" s="3"/>
      <c r="T55" s="142"/>
      <c r="U55" s="142"/>
      <c r="V55" s="42"/>
      <c r="W55" s="42"/>
      <c r="X55" s="42"/>
      <c r="Y55" s="48"/>
      <c r="Z55" s="42"/>
      <c r="AA55" s="119"/>
      <c r="AB55" s="120"/>
      <c r="AC55" s="120"/>
      <c r="AD55" s="120"/>
    </row>
    <row r="56">
      <c r="A56" s="66"/>
      <c r="B56" s="24"/>
      <c r="C56" s="35"/>
      <c r="D56" s="77"/>
      <c r="E56" s="2"/>
      <c r="F56" s="9"/>
      <c r="G56" s="143"/>
      <c r="H56" s="142"/>
      <c r="I56" s="142"/>
      <c r="J56" s="42"/>
      <c r="K56" s="142"/>
      <c r="L56" s="2"/>
      <c r="M56" s="59">
        <v>45994.0</v>
      </c>
      <c r="N56" s="60" t="s">
        <v>263</v>
      </c>
      <c r="O56" s="60" t="s">
        <v>70</v>
      </c>
      <c r="P56" s="60" t="s">
        <v>23</v>
      </c>
      <c r="Q56" s="62">
        <v>19.0</v>
      </c>
      <c r="R56" s="60" t="s">
        <v>17</v>
      </c>
      <c r="S56" s="3"/>
      <c r="T56" s="142"/>
      <c r="U56" s="142"/>
      <c r="V56" s="42"/>
      <c r="W56" s="42"/>
      <c r="X56" s="42"/>
      <c r="Y56" s="48"/>
      <c r="Z56" s="42"/>
      <c r="AA56" s="119"/>
      <c r="AB56" s="120"/>
      <c r="AC56" s="120"/>
      <c r="AD56" s="120"/>
    </row>
    <row r="57">
      <c r="A57" s="66"/>
      <c r="B57" s="24"/>
      <c r="C57" s="35"/>
      <c r="D57" s="77"/>
      <c r="E57" s="2"/>
      <c r="F57" s="9"/>
      <c r="G57" s="143"/>
      <c r="H57" s="142"/>
      <c r="I57" s="142"/>
      <c r="J57" s="42"/>
      <c r="K57" s="142"/>
      <c r="L57" s="2"/>
      <c r="M57" s="40">
        <v>45994.0</v>
      </c>
      <c r="N57" s="37" t="s">
        <v>263</v>
      </c>
      <c r="O57" s="37" t="s">
        <v>70</v>
      </c>
      <c r="P57" s="38" t="s">
        <v>23</v>
      </c>
      <c r="Q57" s="38">
        <v>16.1</v>
      </c>
      <c r="R57" s="37" t="s">
        <v>17</v>
      </c>
      <c r="S57" s="3"/>
      <c r="T57" s="142"/>
      <c r="U57" s="142"/>
      <c r="V57" s="42"/>
      <c r="W57" s="42"/>
      <c r="X57" s="42"/>
      <c r="Y57" s="48"/>
      <c r="Z57" s="42"/>
      <c r="AA57" s="119"/>
      <c r="AB57" s="120"/>
      <c r="AC57" s="120"/>
      <c r="AD57" s="120"/>
    </row>
    <row r="58">
      <c r="A58" s="66"/>
      <c r="B58" s="24"/>
      <c r="C58" s="35"/>
      <c r="D58" s="77"/>
      <c r="E58" s="2"/>
      <c r="F58" s="9"/>
      <c r="G58" s="143"/>
      <c r="H58" s="142"/>
      <c r="I58" s="142"/>
      <c r="J58" s="42"/>
      <c r="K58" s="142"/>
      <c r="L58" s="2"/>
      <c r="M58" s="59">
        <v>45995.0</v>
      </c>
      <c r="N58" s="60" t="s">
        <v>264</v>
      </c>
      <c r="O58" s="60" t="s">
        <v>46</v>
      </c>
      <c r="P58" s="60" t="s">
        <v>23</v>
      </c>
      <c r="Q58" s="62">
        <v>64.98</v>
      </c>
      <c r="R58" s="60" t="s">
        <v>17</v>
      </c>
      <c r="S58" s="3"/>
      <c r="T58" s="142"/>
      <c r="U58" s="142"/>
      <c r="V58" s="42"/>
      <c r="W58" s="42"/>
      <c r="X58" s="42"/>
      <c r="Y58" s="48"/>
      <c r="Z58" s="42"/>
      <c r="AA58" s="119"/>
      <c r="AB58" s="120"/>
      <c r="AC58" s="120"/>
      <c r="AD58" s="120"/>
    </row>
    <row r="59">
      <c r="A59" s="66"/>
      <c r="B59" s="24"/>
      <c r="C59" s="35"/>
      <c r="D59" s="77"/>
      <c r="E59" s="2"/>
      <c r="F59" s="9"/>
      <c r="G59" s="143"/>
      <c r="H59" s="142"/>
      <c r="I59" s="142"/>
      <c r="J59" s="42"/>
      <c r="K59" s="142"/>
      <c r="L59" s="2"/>
      <c r="M59" s="59">
        <v>45995.0</v>
      </c>
      <c r="N59" s="60" t="s">
        <v>103</v>
      </c>
      <c r="O59" s="60" t="s">
        <v>81</v>
      </c>
      <c r="P59" s="60" t="s">
        <v>23</v>
      </c>
      <c r="Q59" s="62">
        <v>7.0</v>
      </c>
      <c r="R59" s="60" t="s">
        <v>17</v>
      </c>
      <c r="S59" s="3"/>
      <c r="T59" s="142"/>
      <c r="U59" s="142"/>
      <c r="V59" s="42"/>
      <c r="W59" s="42"/>
      <c r="X59" s="42"/>
      <c r="Y59" s="48"/>
      <c r="Z59" s="42"/>
      <c r="AA59" s="119"/>
      <c r="AB59" s="120"/>
      <c r="AC59" s="120"/>
      <c r="AD59" s="120"/>
    </row>
    <row r="60">
      <c r="A60" s="66"/>
      <c r="B60" s="24"/>
      <c r="C60" s="35"/>
      <c r="D60" s="77"/>
      <c r="E60" s="2"/>
      <c r="F60" s="9"/>
      <c r="G60" s="143"/>
      <c r="H60" s="142"/>
      <c r="I60" s="142"/>
      <c r="J60" s="42"/>
      <c r="K60" s="142"/>
      <c r="L60" s="2"/>
      <c r="M60" s="59">
        <v>45995.0</v>
      </c>
      <c r="N60" s="60" t="s">
        <v>207</v>
      </c>
      <c r="O60" s="60" t="s">
        <v>70</v>
      </c>
      <c r="P60" s="60" t="s">
        <v>23</v>
      </c>
      <c r="Q60" s="62">
        <v>22.1</v>
      </c>
      <c r="R60" s="60" t="s">
        <v>17</v>
      </c>
      <c r="S60" s="3"/>
      <c r="T60" s="142"/>
      <c r="U60" s="142"/>
      <c r="V60" s="42"/>
      <c r="W60" s="42"/>
      <c r="X60" s="42"/>
      <c r="Y60" s="48"/>
      <c r="Z60" s="42"/>
      <c r="AA60" s="119"/>
      <c r="AB60" s="120"/>
      <c r="AC60" s="120"/>
      <c r="AD60" s="120"/>
    </row>
    <row r="61">
      <c r="A61" s="66"/>
      <c r="B61" s="24"/>
      <c r="C61" s="35"/>
      <c r="D61" s="77"/>
      <c r="E61" s="2"/>
      <c r="F61" s="9"/>
      <c r="G61" s="143"/>
      <c r="H61" s="142"/>
      <c r="I61" s="142"/>
      <c r="J61" s="42"/>
      <c r="K61" s="142"/>
      <c r="L61" s="2"/>
      <c r="M61" s="59">
        <v>45995.0</v>
      </c>
      <c r="N61" s="60" t="s">
        <v>265</v>
      </c>
      <c r="O61" s="60" t="s">
        <v>55</v>
      </c>
      <c r="P61" s="61">
        <v>45748.0</v>
      </c>
      <c r="Q61" s="62">
        <v>69.93</v>
      </c>
      <c r="R61" s="60" t="s">
        <v>17</v>
      </c>
      <c r="S61" s="3"/>
      <c r="T61" s="142"/>
      <c r="U61" s="142"/>
      <c r="V61" s="42"/>
      <c r="W61" s="42"/>
      <c r="X61" s="42"/>
      <c r="Y61" s="48"/>
      <c r="Z61" s="42"/>
      <c r="AA61" s="119"/>
      <c r="AB61" s="120"/>
      <c r="AC61" s="120"/>
      <c r="AD61" s="120"/>
    </row>
    <row r="62">
      <c r="A62" s="66"/>
      <c r="B62" s="24"/>
      <c r="C62" s="35"/>
      <c r="D62" s="77"/>
      <c r="E62" s="2"/>
      <c r="F62" s="9"/>
      <c r="G62" s="143"/>
      <c r="H62" s="142"/>
      <c r="I62" s="142"/>
      <c r="J62" s="42"/>
      <c r="K62" s="142"/>
      <c r="L62" s="2"/>
      <c r="M62" s="59">
        <v>45992.0</v>
      </c>
      <c r="N62" s="60" t="s">
        <v>266</v>
      </c>
      <c r="O62" s="60" t="s">
        <v>70</v>
      </c>
      <c r="P62" s="60" t="s">
        <v>23</v>
      </c>
      <c r="Q62" s="62">
        <v>47.83</v>
      </c>
      <c r="R62" s="60" t="s">
        <v>38</v>
      </c>
      <c r="S62" s="3"/>
      <c r="T62" s="142"/>
      <c r="U62" s="142"/>
      <c r="V62" s="42"/>
      <c r="W62" s="42"/>
      <c r="X62" s="42"/>
      <c r="Y62" s="48"/>
      <c r="Z62" s="42"/>
      <c r="AA62" s="119"/>
      <c r="AB62" s="120"/>
      <c r="AC62" s="120"/>
      <c r="AD62" s="120"/>
    </row>
    <row r="63">
      <c r="A63" s="66"/>
      <c r="B63" s="24"/>
      <c r="C63" s="35"/>
      <c r="D63" s="77"/>
      <c r="E63" s="2"/>
      <c r="F63" s="9"/>
      <c r="G63" s="143"/>
      <c r="H63" s="142"/>
      <c r="I63" s="142"/>
      <c r="J63" s="42"/>
      <c r="K63" s="142"/>
      <c r="L63" s="2"/>
      <c r="M63" s="59"/>
      <c r="N63" s="60"/>
      <c r="O63" s="60"/>
      <c r="P63" s="60"/>
      <c r="Q63" s="62"/>
      <c r="R63" s="60"/>
      <c r="S63" s="3"/>
      <c r="T63" s="142"/>
      <c r="U63" s="142"/>
      <c r="V63" s="42"/>
      <c r="W63" s="42"/>
      <c r="X63" s="42"/>
      <c r="Y63" s="48"/>
      <c r="Z63" s="42"/>
      <c r="AA63" s="119"/>
      <c r="AB63" s="120"/>
      <c r="AC63" s="120"/>
      <c r="AD63" s="120"/>
    </row>
    <row r="64">
      <c r="A64" s="66"/>
      <c r="B64" s="24"/>
      <c r="C64" s="35"/>
      <c r="D64" s="77"/>
      <c r="E64" s="2"/>
      <c r="F64" s="9"/>
      <c r="G64" s="143"/>
      <c r="H64" s="142"/>
      <c r="I64" s="142"/>
      <c r="J64" s="42"/>
      <c r="K64" s="142"/>
      <c r="L64" s="2"/>
      <c r="M64" s="59"/>
      <c r="N64" s="60"/>
      <c r="O64" s="60"/>
      <c r="P64" s="60"/>
      <c r="Q64" s="62"/>
      <c r="R64" s="60"/>
      <c r="S64" s="3"/>
      <c r="T64" s="142"/>
      <c r="U64" s="142"/>
      <c r="V64" s="42"/>
      <c r="W64" s="42"/>
      <c r="X64" s="42"/>
      <c r="Y64" s="48"/>
      <c r="Z64" s="42"/>
      <c r="AA64" s="119"/>
      <c r="AB64" s="120"/>
      <c r="AC64" s="120"/>
      <c r="AD64" s="120"/>
    </row>
    <row r="65">
      <c r="A65" s="66"/>
      <c r="B65" s="24"/>
      <c r="C65" s="35"/>
      <c r="D65" s="77"/>
      <c r="E65" s="2"/>
      <c r="F65" s="9"/>
      <c r="G65" s="143"/>
      <c r="H65" s="142"/>
      <c r="I65" s="142"/>
      <c r="J65" s="42"/>
      <c r="K65" s="142"/>
      <c r="L65" s="2"/>
      <c r="M65" s="59"/>
      <c r="N65" s="60"/>
      <c r="O65" s="60"/>
      <c r="P65" s="60"/>
      <c r="Q65" s="62"/>
      <c r="R65" s="60"/>
      <c r="S65" s="3"/>
      <c r="T65" s="142"/>
      <c r="U65" s="142"/>
      <c r="V65" s="42"/>
      <c r="W65" s="42"/>
      <c r="X65" s="42"/>
      <c r="Y65" s="48"/>
      <c r="Z65" s="42"/>
      <c r="AA65" s="119"/>
      <c r="AB65" s="120"/>
      <c r="AC65" s="120"/>
      <c r="AD65" s="120"/>
    </row>
    <row r="66">
      <c r="A66" s="66"/>
      <c r="B66" s="24"/>
      <c r="C66" s="35"/>
      <c r="D66" s="77"/>
      <c r="E66" s="2"/>
      <c r="F66" s="9"/>
      <c r="G66" s="143"/>
      <c r="H66" s="142"/>
      <c r="I66" s="142"/>
      <c r="J66" s="42"/>
      <c r="K66" s="142"/>
      <c r="L66" s="2"/>
      <c r="M66" s="59"/>
      <c r="N66" s="60"/>
      <c r="O66" s="60"/>
      <c r="P66" s="60"/>
      <c r="Q66" s="62"/>
      <c r="R66" s="60"/>
      <c r="S66" s="3"/>
      <c r="T66" s="142"/>
      <c r="U66" s="142"/>
      <c r="V66" s="42"/>
      <c r="W66" s="42"/>
      <c r="X66" s="42"/>
      <c r="Y66" s="48"/>
      <c r="Z66" s="42"/>
      <c r="AA66" s="119"/>
      <c r="AB66" s="120"/>
      <c r="AC66" s="120"/>
      <c r="AD66" s="120"/>
    </row>
    <row r="67">
      <c r="A67" s="66"/>
      <c r="B67" s="24"/>
      <c r="C67" s="35"/>
      <c r="D67" s="77"/>
      <c r="E67" s="2"/>
      <c r="F67" s="9"/>
      <c r="G67" s="143"/>
      <c r="H67" s="142"/>
      <c r="I67" s="142"/>
      <c r="J67" s="42"/>
      <c r="K67" s="142"/>
      <c r="L67" s="2"/>
      <c r="M67" s="59"/>
      <c r="N67" s="60"/>
      <c r="O67" s="60"/>
      <c r="P67" s="60"/>
      <c r="Q67" s="62"/>
      <c r="R67" s="60"/>
      <c r="S67" s="3"/>
      <c r="T67" s="142"/>
      <c r="U67" s="142"/>
      <c r="V67" s="42"/>
      <c r="W67" s="42"/>
      <c r="X67" s="42"/>
      <c r="Y67" s="48"/>
      <c r="Z67" s="42"/>
      <c r="AA67" s="119"/>
      <c r="AB67" s="120"/>
      <c r="AC67" s="120"/>
      <c r="AD67" s="120"/>
    </row>
    <row r="68">
      <c r="A68" s="66"/>
      <c r="B68" s="24"/>
      <c r="C68" s="35"/>
      <c r="D68" s="77"/>
      <c r="E68" s="2"/>
      <c r="F68" s="9"/>
      <c r="G68" s="143"/>
      <c r="H68" s="142"/>
      <c r="I68" s="142"/>
      <c r="J68" s="42"/>
      <c r="K68" s="142"/>
      <c r="L68" s="2"/>
      <c r="M68" s="59"/>
      <c r="N68" s="60"/>
      <c r="O68" s="60"/>
      <c r="P68" s="60"/>
      <c r="Q68" s="62"/>
      <c r="R68" s="60"/>
      <c r="S68" s="3"/>
      <c r="T68" s="142"/>
      <c r="U68" s="142"/>
      <c r="V68" s="42"/>
      <c r="W68" s="42"/>
      <c r="X68" s="42"/>
      <c r="Y68" s="48"/>
      <c r="Z68" s="42"/>
      <c r="AA68" s="119"/>
      <c r="AB68" s="120"/>
      <c r="AC68" s="120"/>
      <c r="AD68" s="120"/>
    </row>
    <row r="69">
      <c r="A69" s="66"/>
      <c r="B69" s="24"/>
      <c r="C69" s="35"/>
      <c r="D69" s="77"/>
      <c r="E69" s="2"/>
      <c r="F69" s="9"/>
      <c r="G69" s="143"/>
      <c r="H69" s="142"/>
      <c r="I69" s="142"/>
      <c r="J69" s="42"/>
      <c r="K69" s="142"/>
      <c r="L69" s="2"/>
      <c r="M69" s="59"/>
      <c r="N69" s="60"/>
      <c r="O69" s="60"/>
      <c r="P69" s="60"/>
      <c r="Q69" s="62"/>
      <c r="R69" s="60"/>
      <c r="S69" s="3"/>
      <c r="T69" s="142"/>
      <c r="U69" s="142"/>
      <c r="V69" s="42"/>
      <c r="W69" s="42"/>
      <c r="X69" s="42"/>
      <c r="Y69" s="48"/>
      <c r="Z69" s="42"/>
      <c r="AA69" s="119"/>
      <c r="AB69" s="120"/>
      <c r="AC69" s="120"/>
      <c r="AD69" s="120"/>
    </row>
    <row r="70">
      <c r="A70" s="66"/>
      <c r="B70" s="24"/>
      <c r="C70" s="35"/>
      <c r="D70" s="77"/>
      <c r="E70" s="2"/>
      <c r="F70" s="9"/>
      <c r="G70" s="143"/>
      <c r="H70" s="142"/>
      <c r="I70" s="142"/>
      <c r="J70" s="42"/>
      <c r="K70" s="142"/>
      <c r="L70" s="2"/>
      <c r="M70" s="59"/>
      <c r="N70" s="60"/>
      <c r="O70" s="60"/>
      <c r="P70" s="60"/>
      <c r="Q70" s="62"/>
      <c r="R70" s="60"/>
      <c r="S70" s="3"/>
      <c r="T70" s="142"/>
      <c r="U70" s="142"/>
      <c r="V70" s="42"/>
      <c r="W70" s="42"/>
      <c r="X70" s="42"/>
      <c r="Y70" s="48"/>
      <c r="Z70" s="42"/>
      <c r="AA70" s="119"/>
      <c r="AB70" s="120"/>
      <c r="AC70" s="120"/>
      <c r="AD70" s="120"/>
    </row>
    <row r="71">
      <c r="A71" s="66"/>
      <c r="B71" s="24"/>
      <c r="C71" s="35"/>
      <c r="D71" s="77"/>
      <c r="E71" s="2"/>
      <c r="F71" s="9"/>
      <c r="G71" s="143"/>
      <c r="H71" s="142"/>
      <c r="I71" s="142"/>
      <c r="J71" s="42"/>
      <c r="K71" s="142"/>
      <c r="L71" s="2"/>
      <c r="M71" s="59"/>
      <c r="N71" s="60"/>
      <c r="O71" s="60"/>
      <c r="P71" s="60"/>
      <c r="Q71" s="62"/>
      <c r="R71" s="60"/>
      <c r="S71" s="3"/>
      <c r="T71" s="142"/>
      <c r="U71" s="142"/>
      <c r="V71" s="42"/>
      <c r="W71" s="42"/>
      <c r="X71" s="42"/>
      <c r="Y71" s="48"/>
      <c r="Z71" s="42"/>
      <c r="AA71" s="119"/>
      <c r="AB71" s="120"/>
      <c r="AC71" s="120"/>
      <c r="AD71" s="120"/>
    </row>
    <row r="72">
      <c r="A72" s="66"/>
      <c r="B72" s="24"/>
      <c r="C72" s="35"/>
      <c r="D72" s="77"/>
      <c r="E72" s="2"/>
      <c r="F72" s="9"/>
      <c r="G72" s="143"/>
      <c r="H72" s="142"/>
      <c r="I72" s="142"/>
      <c r="J72" s="42"/>
      <c r="K72" s="142"/>
      <c r="L72" s="2"/>
      <c r="M72" s="59"/>
      <c r="N72" s="60"/>
      <c r="O72" s="60"/>
      <c r="P72" s="60"/>
      <c r="Q72" s="62"/>
      <c r="R72" s="60"/>
      <c r="S72" s="3"/>
      <c r="T72" s="142"/>
      <c r="U72" s="142"/>
      <c r="V72" s="42"/>
      <c r="W72" s="42"/>
      <c r="X72" s="42"/>
      <c r="Y72" s="48"/>
      <c r="Z72" s="42"/>
      <c r="AA72" s="119"/>
      <c r="AB72" s="120"/>
      <c r="AC72" s="120"/>
      <c r="AD72" s="120"/>
    </row>
    <row r="73">
      <c r="A73" s="66"/>
      <c r="B73" s="24"/>
      <c r="C73" s="35"/>
      <c r="D73" s="77"/>
      <c r="E73" s="2"/>
      <c r="F73" s="9"/>
      <c r="G73" s="143"/>
      <c r="H73" s="142"/>
      <c r="I73" s="142"/>
      <c r="J73" s="42"/>
      <c r="K73" s="142"/>
      <c r="L73" s="2"/>
      <c r="M73" s="59"/>
      <c r="N73" s="60"/>
      <c r="O73" s="60"/>
      <c r="P73" s="60"/>
      <c r="Q73" s="62"/>
      <c r="R73" s="60"/>
      <c r="S73" s="3"/>
      <c r="T73" s="142"/>
      <c r="U73" s="142"/>
      <c r="V73" s="42"/>
      <c r="W73" s="42"/>
      <c r="X73" s="42"/>
      <c r="Y73" s="48"/>
      <c r="Z73" s="42"/>
      <c r="AA73" s="119"/>
      <c r="AB73" s="120"/>
      <c r="AC73" s="120"/>
      <c r="AD73" s="120"/>
    </row>
    <row r="74">
      <c r="A74" s="66"/>
      <c r="B74" s="24"/>
      <c r="C74" s="35"/>
      <c r="D74" s="77"/>
      <c r="E74" s="2"/>
      <c r="F74" s="9"/>
      <c r="G74" s="143"/>
      <c r="H74" s="142"/>
      <c r="I74" s="142"/>
      <c r="J74" s="42"/>
      <c r="K74" s="142"/>
      <c r="L74" s="2"/>
      <c r="M74" s="59"/>
      <c r="N74" s="60"/>
      <c r="O74" s="60"/>
      <c r="P74" s="60"/>
      <c r="Q74" s="62"/>
      <c r="R74" s="60"/>
      <c r="S74" s="3"/>
      <c r="T74" s="142"/>
      <c r="U74" s="142"/>
      <c r="V74" s="42"/>
      <c r="W74" s="42"/>
      <c r="X74" s="42"/>
      <c r="Y74" s="48"/>
      <c r="Z74" s="42"/>
      <c r="AA74" s="119"/>
      <c r="AB74" s="120"/>
      <c r="AC74" s="120"/>
      <c r="AD74" s="120"/>
    </row>
    <row r="75">
      <c r="A75" s="66"/>
      <c r="B75" s="24"/>
      <c r="C75" s="35"/>
      <c r="D75" s="77"/>
      <c r="E75" s="2"/>
      <c r="F75" s="9"/>
      <c r="G75" s="143"/>
      <c r="H75" s="142"/>
      <c r="I75" s="142"/>
      <c r="J75" s="42"/>
      <c r="K75" s="142"/>
      <c r="L75" s="2"/>
      <c r="M75" s="59"/>
      <c r="N75" s="60"/>
      <c r="O75" s="60"/>
      <c r="P75" s="60"/>
      <c r="Q75" s="62"/>
      <c r="R75" s="60"/>
      <c r="S75" s="3"/>
      <c r="T75" s="142"/>
      <c r="U75" s="142"/>
      <c r="V75" s="42"/>
      <c r="W75" s="42"/>
      <c r="X75" s="42"/>
      <c r="Y75" s="48"/>
      <c r="Z75" s="42"/>
      <c r="AA75" s="119"/>
      <c r="AB75" s="120"/>
      <c r="AC75" s="120"/>
      <c r="AD75" s="120"/>
    </row>
    <row r="76">
      <c r="A76" s="66"/>
      <c r="B76" s="24"/>
      <c r="C76" s="35"/>
      <c r="D76" s="77"/>
      <c r="E76" s="2"/>
      <c r="F76" s="9"/>
      <c r="G76" s="143"/>
      <c r="H76" s="142"/>
      <c r="I76" s="142"/>
      <c r="J76" s="42"/>
      <c r="K76" s="142"/>
      <c r="L76" s="2"/>
      <c r="M76" s="59"/>
      <c r="N76" s="60"/>
      <c r="O76" s="60"/>
      <c r="P76" s="60"/>
      <c r="Q76" s="62"/>
      <c r="R76" s="60"/>
      <c r="S76" s="3"/>
      <c r="T76" s="142"/>
      <c r="U76" s="142"/>
      <c r="V76" s="42"/>
      <c r="W76" s="42"/>
      <c r="X76" s="42"/>
      <c r="Y76" s="48"/>
      <c r="Z76" s="42"/>
      <c r="AA76" s="119"/>
      <c r="AB76" s="120"/>
      <c r="AC76" s="120"/>
      <c r="AD76" s="120"/>
    </row>
    <row r="77">
      <c r="A77" s="66"/>
      <c r="B77" s="24"/>
      <c r="C77" s="35"/>
      <c r="D77" s="77"/>
      <c r="E77" s="2"/>
      <c r="F77" s="9"/>
      <c r="G77" s="143"/>
      <c r="H77" s="142"/>
      <c r="I77" s="142"/>
      <c r="J77" s="42"/>
      <c r="K77" s="142"/>
      <c r="L77" s="2"/>
      <c r="M77" s="59"/>
      <c r="N77" s="60"/>
      <c r="O77" s="60"/>
      <c r="P77" s="60"/>
      <c r="Q77" s="62"/>
      <c r="R77" s="60"/>
      <c r="S77" s="3"/>
      <c r="T77" s="142"/>
      <c r="U77" s="142"/>
      <c r="V77" s="42"/>
      <c r="W77" s="42"/>
      <c r="X77" s="42"/>
      <c r="Y77" s="48"/>
      <c r="Z77" s="42"/>
      <c r="AA77" s="119"/>
      <c r="AB77" s="120"/>
      <c r="AC77" s="120"/>
      <c r="AD77" s="120"/>
    </row>
    <row r="78">
      <c r="A78" s="66"/>
      <c r="B78" s="24"/>
      <c r="C78" s="35"/>
      <c r="D78" s="77"/>
      <c r="E78" s="2"/>
      <c r="F78" s="9"/>
      <c r="G78" s="143"/>
      <c r="H78" s="142"/>
      <c r="I78" s="142"/>
      <c r="J78" s="42"/>
      <c r="K78" s="142"/>
      <c r="L78" s="2"/>
      <c r="M78" s="40"/>
      <c r="N78" s="37"/>
      <c r="O78" s="37"/>
      <c r="P78" s="38"/>
      <c r="Q78" s="38"/>
      <c r="R78" s="37"/>
      <c r="S78" s="3"/>
      <c r="T78" s="142"/>
      <c r="U78" s="142"/>
      <c r="V78" s="42"/>
      <c r="W78" s="42"/>
      <c r="X78" s="42"/>
      <c r="Y78" s="48"/>
      <c r="Z78" s="42"/>
      <c r="AA78" s="119"/>
      <c r="AB78" s="120"/>
      <c r="AC78" s="120"/>
      <c r="AD78" s="120"/>
    </row>
    <row r="79">
      <c r="A79" s="66"/>
      <c r="B79" s="24"/>
      <c r="C79" s="35"/>
      <c r="D79" s="77"/>
      <c r="E79" s="2"/>
      <c r="F79" s="9"/>
      <c r="G79" s="143"/>
      <c r="H79" s="142"/>
      <c r="I79" s="142"/>
      <c r="J79" s="42"/>
      <c r="K79" s="142"/>
      <c r="L79" s="2"/>
      <c r="M79" s="40"/>
      <c r="N79" s="37"/>
      <c r="O79" s="37"/>
      <c r="P79" s="38"/>
      <c r="Q79" s="38"/>
      <c r="R79" s="37"/>
      <c r="S79" s="3"/>
      <c r="T79" s="142"/>
      <c r="U79" s="142"/>
      <c r="V79" s="42"/>
      <c r="W79" s="42"/>
      <c r="X79" s="42"/>
      <c r="Y79" s="48"/>
      <c r="Z79" s="42"/>
      <c r="AA79" s="119"/>
      <c r="AB79" s="120"/>
      <c r="AC79" s="120"/>
      <c r="AD79" s="120"/>
    </row>
    <row r="80">
      <c r="A80" s="66"/>
      <c r="B80" s="24"/>
      <c r="C80" s="35"/>
      <c r="D80" s="77"/>
      <c r="E80" s="2"/>
      <c r="F80" s="9"/>
      <c r="G80" s="143"/>
      <c r="H80" s="142"/>
      <c r="I80" s="142"/>
      <c r="J80" s="42"/>
      <c r="K80" s="142"/>
      <c r="L80" s="2"/>
      <c r="M80" s="59"/>
      <c r="N80" s="60"/>
      <c r="O80" s="60"/>
      <c r="P80" s="60"/>
      <c r="Q80" s="62"/>
      <c r="R80" s="60"/>
      <c r="S80" s="3"/>
      <c r="T80" s="142"/>
      <c r="U80" s="142"/>
      <c r="V80" s="42"/>
      <c r="W80" s="42"/>
      <c r="X80" s="42"/>
      <c r="Y80" s="48"/>
      <c r="Z80" s="42"/>
      <c r="AA80" s="119"/>
      <c r="AB80" s="120"/>
      <c r="AC80" s="120"/>
      <c r="AD80" s="120"/>
    </row>
    <row r="81">
      <c r="A81" s="66"/>
      <c r="B81" s="24"/>
      <c r="C81" s="35"/>
      <c r="D81" s="77"/>
      <c r="E81" s="2"/>
      <c r="F81" s="9"/>
      <c r="G81" s="143"/>
      <c r="H81" s="142"/>
      <c r="I81" s="142"/>
      <c r="J81" s="42"/>
      <c r="K81" s="142"/>
      <c r="L81" s="2"/>
      <c r="M81" s="59"/>
      <c r="N81" s="60"/>
      <c r="O81" s="60"/>
      <c r="P81" s="60"/>
      <c r="Q81" s="62"/>
      <c r="R81" s="60"/>
      <c r="S81" s="3"/>
      <c r="T81" s="142"/>
      <c r="U81" s="142"/>
      <c r="V81" s="42"/>
      <c r="W81" s="42"/>
      <c r="X81" s="42"/>
      <c r="Y81" s="48"/>
      <c r="Z81" s="42"/>
      <c r="AA81" s="119"/>
      <c r="AB81" s="120"/>
      <c r="AC81" s="120"/>
      <c r="AD81" s="120"/>
    </row>
    <row r="82">
      <c r="A82" s="66"/>
      <c r="B82" s="24"/>
      <c r="C82" s="35"/>
      <c r="D82" s="77"/>
      <c r="E82" s="2"/>
      <c r="F82" s="9"/>
      <c r="G82" s="143"/>
      <c r="H82" s="142"/>
      <c r="I82" s="142"/>
      <c r="J82" s="42"/>
      <c r="K82" s="142"/>
      <c r="L82" s="2"/>
      <c r="M82" s="59"/>
      <c r="N82" s="60"/>
      <c r="O82" s="60"/>
      <c r="P82" s="60"/>
      <c r="Q82" s="62"/>
      <c r="R82" s="60"/>
      <c r="S82" s="3"/>
      <c r="T82" s="142"/>
      <c r="U82" s="142"/>
      <c r="V82" s="42"/>
      <c r="W82" s="42"/>
      <c r="X82" s="42"/>
      <c r="Y82" s="48"/>
      <c r="Z82" s="42"/>
      <c r="AA82" s="119"/>
      <c r="AB82" s="120"/>
      <c r="AC82" s="120"/>
      <c r="AD82" s="120"/>
    </row>
    <row r="83">
      <c r="A83" s="66"/>
      <c r="B83" s="24"/>
      <c r="C83" s="35"/>
      <c r="D83" s="77"/>
      <c r="E83" s="2"/>
      <c r="F83" s="9"/>
      <c r="G83" s="143"/>
      <c r="H83" s="142"/>
      <c r="I83" s="142"/>
      <c r="J83" s="42"/>
      <c r="K83" s="142"/>
      <c r="L83" s="2"/>
      <c r="M83" s="59"/>
      <c r="N83" s="60"/>
      <c r="O83" s="60"/>
      <c r="P83" s="60"/>
      <c r="Q83" s="62"/>
      <c r="R83" s="60"/>
      <c r="S83" s="3"/>
      <c r="T83" s="142"/>
      <c r="U83" s="142"/>
      <c r="V83" s="42"/>
      <c r="W83" s="42"/>
      <c r="X83" s="42"/>
      <c r="Y83" s="48"/>
      <c r="Z83" s="42"/>
      <c r="AA83" s="119"/>
      <c r="AB83" s="120"/>
      <c r="AC83" s="120"/>
      <c r="AD83" s="120"/>
    </row>
    <row r="84">
      <c r="A84" s="66"/>
      <c r="B84" s="24"/>
      <c r="C84" s="35"/>
      <c r="D84" s="77"/>
      <c r="E84" s="2"/>
      <c r="F84" s="9"/>
      <c r="G84" s="143"/>
      <c r="H84" s="142"/>
      <c r="I84" s="142"/>
      <c r="J84" s="42"/>
      <c r="K84" s="142"/>
      <c r="L84" s="2"/>
      <c r="M84" s="59"/>
      <c r="N84" s="60"/>
      <c r="O84" s="60"/>
      <c r="P84" s="61"/>
      <c r="Q84" s="62"/>
      <c r="R84" s="60"/>
      <c r="S84" s="3"/>
      <c r="T84" s="142"/>
      <c r="U84" s="142"/>
      <c r="V84" s="42"/>
      <c r="W84" s="42"/>
      <c r="X84" s="42"/>
      <c r="Y84" s="48"/>
      <c r="Z84" s="42"/>
      <c r="AA84" s="119"/>
      <c r="AB84" s="120"/>
      <c r="AC84" s="120"/>
      <c r="AD84" s="120"/>
    </row>
    <row r="85">
      <c r="A85" s="66"/>
      <c r="B85" s="24"/>
      <c r="C85" s="35"/>
      <c r="D85" s="77"/>
      <c r="E85" s="2"/>
      <c r="F85" s="9"/>
      <c r="G85" s="143"/>
      <c r="H85" s="142"/>
      <c r="I85" s="142"/>
      <c r="J85" s="42"/>
      <c r="K85" s="142"/>
      <c r="L85" s="2"/>
      <c r="M85" s="59"/>
      <c r="N85" s="60"/>
      <c r="O85" s="60"/>
      <c r="P85" s="60"/>
      <c r="Q85" s="62"/>
      <c r="R85" s="60"/>
      <c r="S85" s="3"/>
      <c r="T85" s="142"/>
      <c r="U85" s="142"/>
      <c r="V85" s="42"/>
      <c r="W85" s="42"/>
      <c r="X85" s="42"/>
      <c r="Y85" s="48"/>
      <c r="Z85" s="42"/>
      <c r="AA85" s="119"/>
      <c r="AB85" s="120"/>
      <c r="AC85" s="120"/>
      <c r="AD85" s="120"/>
    </row>
    <row r="86">
      <c r="A86" s="66"/>
      <c r="B86" s="24"/>
      <c r="C86" s="35"/>
      <c r="D86" s="77"/>
      <c r="E86" s="2"/>
      <c r="F86" s="9"/>
      <c r="G86" s="143"/>
      <c r="H86" s="142"/>
      <c r="I86" s="142"/>
      <c r="J86" s="42"/>
      <c r="K86" s="142"/>
      <c r="L86" s="2"/>
      <c r="M86" s="59"/>
      <c r="N86" s="60"/>
      <c r="O86" s="60"/>
      <c r="P86" s="60"/>
      <c r="Q86" s="62"/>
      <c r="R86" s="60"/>
      <c r="S86" s="3"/>
      <c r="T86" s="142"/>
      <c r="U86" s="142"/>
      <c r="V86" s="42"/>
      <c r="W86" s="42"/>
      <c r="X86" s="42"/>
      <c r="Y86" s="48"/>
      <c r="Z86" s="42"/>
      <c r="AA86" s="119"/>
      <c r="AB86" s="120"/>
      <c r="AC86" s="120"/>
      <c r="AD86" s="120"/>
    </row>
    <row r="87">
      <c r="A87" s="66"/>
      <c r="B87" s="24"/>
      <c r="C87" s="35"/>
      <c r="D87" s="77"/>
      <c r="E87" s="2"/>
      <c r="F87" s="9"/>
      <c r="G87" s="143"/>
      <c r="H87" s="142"/>
      <c r="I87" s="142"/>
      <c r="J87" s="42"/>
      <c r="K87" s="142"/>
      <c r="L87" s="2"/>
      <c r="M87" s="59"/>
      <c r="N87" s="60"/>
      <c r="O87" s="60"/>
      <c r="P87" s="60"/>
      <c r="Q87" s="62"/>
      <c r="R87" s="60"/>
      <c r="S87" s="3"/>
      <c r="T87" s="142"/>
      <c r="U87" s="142"/>
      <c r="V87" s="42"/>
      <c r="W87" s="42"/>
      <c r="X87" s="42"/>
      <c r="Y87" s="48"/>
      <c r="Z87" s="42"/>
      <c r="AA87" s="119"/>
      <c r="AB87" s="120"/>
      <c r="AC87" s="120"/>
      <c r="AD87" s="120"/>
    </row>
    <row r="88">
      <c r="A88" s="66"/>
      <c r="B88" s="24"/>
      <c r="C88" s="35"/>
      <c r="D88" s="77"/>
      <c r="E88" s="2"/>
      <c r="F88" s="9"/>
      <c r="G88" s="143"/>
      <c r="H88" s="142"/>
      <c r="I88" s="142"/>
      <c r="J88" s="42"/>
      <c r="K88" s="142"/>
      <c r="L88" s="2"/>
      <c r="M88" s="59"/>
      <c r="N88" s="60"/>
      <c r="O88" s="60"/>
      <c r="P88" s="60"/>
      <c r="Q88" s="62"/>
      <c r="R88" s="60"/>
      <c r="S88" s="3"/>
      <c r="T88" s="142"/>
      <c r="U88" s="142"/>
      <c r="V88" s="42"/>
      <c r="W88" s="42"/>
      <c r="X88" s="42"/>
      <c r="Y88" s="48"/>
      <c r="Z88" s="42"/>
      <c r="AA88" s="119"/>
      <c r="AB88" s="120"/>
      <c r="AC88" s="120"/>
      <c r="AD88" s="120"/>
    </row>
    <row r="89">
      <c r="A89" s="66"/>
      <c r="B89" s="24"/>
      <c r="C89" s="35"/>
      <c r="D89" s="77"/>
      <c r="E89" s="2"/>
      <c r="F89" s="9"/>
      <c r="G89" s="143"/>
      <c r="H89" s="142"/>
      <c r="I89" s="142"/>
      <c r="J89" s="42"/>
      <c r="K89" s="142"/>
      <c r="L89" s="2"/>
      <c r="M89" s="59"/>
      <c r="N89" s="60"/>
      <c r="O89" s="60"/>
      <c r="P89" s="60"/>
      <c r="Q89" s="62"/>
      <c r="R89" s="60"/>
      <c r="S89" s="3"/>
      <c r="T89" s="142"/>
      <c r="U89" s="142"/>
      <c r="V89" s="42"/>
      <c r="W89" s="42"/>
      <c r="X89" s="42"/>
      <c r="Y89" s="48"/>
      <c r="Z89" s="42"/>
      <c r="AA89" s="119"/>
      <c r="AB89" s="120"/>
      <c r="AC89" s="120"/>
      <c r="AD89" s="120"/>
    </row>
    <row r="90">
      <c r="A90" s="66"/>
      <c r="B90" s="24"/>
      <c r="C90" s="35"/>
      <c r="D90" s="77"/>
      <c r="E90" s="2"/>
      <c r="F90" s="9"/>
      <c r="G90" s="143"/>
      <c r="H90" s="142"/>
      <c r="I90" s="142"/>
      <c r="J90" s="42"/>
      <c r="K90" s="142"/>
      <c r="L90" s="2"/>
      <c r="M90" s="59"/>
      <c r="N90" s="60"/>
      <c r="O90" s="60"/>
      <c r="P90" s="60"/>
      <c r="Q90" s="62"/>
      <c r="R90" s="60"/>
      <c r="S90" s="3"/>
      <c r="T90" s="142"/>
      <c r="U90" s="142"/>
      <c r="V90" s="42"/>
      <c r="W90" s="42"/>
      <c r="X90" s="42"/>
      <c r="Y90" s="48"/>
      <c r="Z90" s="42"/>
      <c r="AA90" s="119"/>
      <c r="AB90" s="120"/>
      <c r="AC90" s="120"/>
      <c r="AD90" s="120"/>
    </row>
    <row r="91">
      <c r="A91" s="66"/>
      <c r="B91" s="24"/>
      <c r="C91" s="35"/>
      <c r="D91" s="77"/>
      <c r="E91" s="2"/>
      <c r="F91" s="9"/>
      <c r="G91" s="143"/>
      <c r="H91" s="142"/>
      <c r="I91" s="142"/>
      <c r="J91" s="42"/>
      <c r="K91" s="142"/>
      <c r="L91" s="2"/>
      <c r="M91" s="59"/>
      <c r="N91" s="60"/>
      <c r="O91" s="60"/>
      <c r="P91" s="60"/>
      <c r="Q91" s="62"/>
      <c r="R91" s="60"/>
      <c r="S91" s="3"/>
      <c r="T91" s="142"/>
      <c r="U91" s="142"/>
      <c r="V91" s="42"/>
      <c r="W91" s="42"/>
      <c r="X91" s="42"/>
      <c r="Y91" s="48"/>
      <c r="Z91" s="42"/>
      <c r="AA91" s="119"/>
      <c r="AB91" s="120"/>
      <c r="AC91" s="120"/>
      <c r="AD91" s="120"/>
    </row>
    <row r="92">
      <c r="A92" s="66"/>
      <c r="B92" s="24"/>
      <c r="C92" s="35"/>
      <c r="D92" s="77"/>
      <c r="E92" s="2"/>
      <c r="F92" s="9"/>
      <c r="G92" s="143"/>
      <c r="H92" s="142"/>
      <c r="I92" s="142"/>
      <c r="J92" s="42"/>
      <c r="K92" s="142"/>
      <c r="L92" s="2"/>
      <c r="M92" s="59"/>
      <c r="N92" s="60"/>
      <c r="O92" s="60"/>
      <c r="P92" s="60"/>
      <c r="Q92" s="62"/>
      <c r="R92" s="60"/>
      <c r="S92" s="3"/>
      <c r="T92" s="142"/>
      <c r="U92" s="142"/>
      <c r="V92" s="42"/>
      <c r="W92" s="42"/>
      <c r="X92" s="42"/>
      <c r="Y92" s="48"/>
      <c r="Z92" s="42"/>
      <c r="AA92" s="119"/>
      <c r="AB92" s="120"/>
      <c r="AC92" s="120"/>
      <c r="AD92" s="120"/>
    </row>
    <row r="93">
      <c r="A93" s="66"/>
      <c r="B93" s="24"/>
      <c r="C93" s="2"/>
      <c r="D93" s="2"/>
      <c r="E93" s="2"/>
      <c r="F93" s="9"/>
      <c r="G93" s="143"/>
      <c r="H93" s="142"/>
      <c r="I93" s="142"/>
      <c r="J93" s="42"/>
      <c r="K93" s="142"/>
      <c r="L93" s="2"/>
      <c r="M93" s="59"/>
      <c r="N93" s="60"/>
      <c r="O93" s="60"/>
      <c r="P93" s="60"/>
      <c r="Q93" s="62"/>
      <c r="R93" s="60"/>
      <c r="S93" s="3"/>
      <c r="T93" s="142"/>
      <c r="U93" s="142"/>
      <c r="V93" s="42"/>
      <c r="W93" s="42"/>
      <c r="X93" s="42"/>
      <c r="Y93" s="48"/>
      <c r="Z93" s="42"/>
      <c r="AA93" s="119"/>
      <c r="AB93" s="120"/>
      <c r="AC93" s="120"/>
      <c r="AD93" s="120"/>
    </row>
    <row r="94">
      <c r="A94" s="66"/>
      <c r="B94" s="24"/>
      <c r="C94" s="2"/>
      <c r="D94" s="2"/>
      <c r="E94" s="2"/>
      <c r="F94" s="9"/>
      <c r="G94" s="143"/>
      <c r="H94" s="142"/>
      <c r="I94" s="142"/>
      <c r="J94" s="42"/>
      <c r="K94" s="142"/>
      <c r="L94" s="2"/>
      <c r="M94" s="59"/>
      <c r="N94" s="60"/>
      <c r="O94" s="60"/>
      <c r="P94" s="60"/>
      <c r="Q94" s="62"/>
      <c r="R94" s="60"/>
      <c r="S94" s="3"/>
      <c r="T94" s="142"/>
      <c r="U94" s="142"/>
      <c r="V94" s="42"/>
      <c r="W94" s="42"/>
      <c r="X94" s="42"/>
      <c r="Y94" s="48"/>
      <c r="Z94" s="42"/>
      <c r="AA94" s="119"/>
      <c r="AB94" s="120"/>
      <c r="AC94" s="120"/>
      <c r="AD94" s="120"/>
    </row>
    <row r="95">
      <c r="A95" s="66"/>
      <c r="B95" s="24"/>
      <c r="C95" s="2"/>
      <c r="D95" s="2"/>
      <c r="E95" s="2"/>
      <c r="F95" s="9"/>
      <c r="G95" s="143"/>
      <c r="H95" s="142"/>
      <c r="I95" s="142"/>
      <c r="J95" s="42"/>
      <c r="K95" s="142"/>
      <c r="L95" s="2"/>
      <c r="M95" s="40"/>
      <c r="N95" s="37"/>
      <c r="O95" s="37"/>
      <c r="P95" s="89"/>
      <c r="Q95" s="38"/>
      <c r="R95" s="37"/>
      <c r="S95" s="3"/>
      <c r="T95" s="142"/>
      <c r="U95" s="142"/>
      <c r="V95" s="42"/>
      <c r="W95" s="42"/>
      <c r="X95" s="42"/>
      <c r="Y95" s="48"/>
      <c r="Z95" s="42"/>
      <c r="AA95" s="119"/>
      <c r="AB95" s="120"/>
      <c r="AC95" s="120"/>
      <c r="AD95" s="120"/>
    </row>
    <row r="96">
      <c r="A96" s="2"/>
      <c r="B96" s="2"/>
      <c r="C96" s="2"/>
      <c r="D96" s="2"/>
      <c r="E96" s="2"/>
      <c r="F96" s="4"/>
      <c r="G96" s="68"/>
      <c r="H96" s="69" t="s">
        <v>47</v>
      </c>
      <c r="I96" s="68"/>
      <c r="J96" s="70">
        <f>SUM(J9:J95)</f>
        <v>995.5</v>
      </c>
      <c r="K96" s="68"/>
      <c r="L96" s="144"/>
      <c r="M96" s="90"/>
      <c r="N96" s="30" t="s">
        <v>47</v>
      </c>
      <c r="O96" s="91"/>
      <c r="P96" s="92"/>
      <c r="Q96" s="92">
        <f>SUM(Q9:Q95)</f>
        <v>4201.39</v>
      </c>
      <c r="R96" s="91"/>
      <c r="S96" s="144"/>
      <c r="T96" s="145"/>
      <c r="U96" s="50" t="s">
        <v>47</v>
      </c>
      <c r="V96" s="51">
        <f>SUM(V9:V95)</f>
        <v>0</v>
      </c>
      <c r="W96" s="52"/>
      <c r="X96" s="52"/>
      <c r="Y96" s="53" t="str">
        <f>(V9:V96/Z9:Z96)</f>
        <v>#DIV/0!</v>
      </c>
      <c r="Z96" s="52">
        <f>SUM(Z9:Z95)</f>
        <v>0</v>
      </c>
      <c r="AA96" s="119"/>
      <c r="AB96" s="120"/>
      <c r="AC96" s="120"/>
      <c r="AD96" s="120"/>
    </row>
    <row r="97">
      <c r="A97" s="2"/>
      <c r="B97" s="2"/>
      <c r="C97" s="15"/>
      <c r="D97" s="15"/>
      <c r="E97" s="2"/>
      <c r="F97" s="2"/>
      <c r="G97" s="15"/>
      <c r="H97" s="15"/>
      <c r="I97" s="15"/>
      <c r="J97" s="15"/>
      <c r="K97" s="15"/>
      <c r="L97" s="2"/>
      <c r="M97" s="2"/>
      <c r="N97" s="2"/>
      <c r="O97" s="2"/>
      <c r="P97" s="2"/>
      <c r="Q97" s="2"/>
      <c r="R97" s="2"/>
      <c r="S97" s="15"/>
      <c r="T97" s="2"/>
      <c r="U97" s="2"/>
      <c r="V97" s="2"/>
      <c r="W97" s="15"/>
      <c r="X97" s="15"/>
      <c r="Y97" s="15"/>
      <c r="Z97" s="15"/>
      <c r="AA97" s="105"/>
      <c r="AB97" s="105"/>
      <c r="AC97" s="105"/>
      <c r="AD97" s="105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105"/>
      <c r="AB98" s="105"/>
      <c r="AC98" s="105"/>
      <c r="AD98" s="105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105"/>
      <c r="AB99" s="105"/>
      <c r="AC99" s="105"/>
      <c r="AD99" s="105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105"/>
      <c r="AB100" s="105"/>
      <c r="AC100" s="105"/>
      <c r="AD100" s="105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105"/>
      <c r="AB101" s="105"/>
      <c r="AC101" s="105"/>
      <c r="AD101" s="105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105"/>
      <c r="AB102" s="105"/>
      <c r="AC102" s="105"/>
      <c r="AD102" s="105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105"/>
      <c r="AB103" s="105"/>
      <c r="AC103" s="105"/>
      <c r="AD103" s="105"/>
    </row>
    <row r="104">
      <c r="A104" s="2"/>
      <c r="B104" s="2"/>
      <c r="C104" s="78"/>
      <c r="D104" s="78"/>
      <c r="E104" s="78"/>
      <c r="F104" s="2"/>
      <c r="G104" s="2"/>
      <c r="H104" s="2"/>
      <c r="I104" s="2"/>
      <c r="J104" s="2"/>
      <c r="K104" s="2"/>
      <c r="L104" s="2"/>
      <c r="M104" s="93" t="s">
        <v>150</v>
      </c>
      <c r="N104" s="17"/>
      <c r="O104" s="17"/>
      <c r="P104" s="17"/>
      <c r="Q104" s="17"/>
      <c r="R104" s="18"/>
      <c r="S104" s="2"/>
      <c r="T104" s="2"/>
      <c r="U104" s="2"/>
      <c r="V104" s="2"/>
      <c r="W104" s="2"/>
      <c r="X104" s="2"/>
      <c r="Y104" s="2"/>
      <c r="Z104" s="2"/>
      <c r="AA104" s="105"/>
      <c r="AB104" s="105"/>
      <c r="AC104" s="105"/>
      <c r="AD104" s="105"/>
    </row>
    <row r="105">
      <c r="A105" s="2"/>
      <c r="B105" s="2"/>
      <c r="C105" s="78"/>
      <c r="D105" s="78"/>
      <c r="E105" s="78"/>
      <c r="F105" s="2"/>
      <c r="G105" s="2"/>
      <c r="H105" s="2"/>
      <c r="I105" s="2"/>
      <c r="J105" s="2"/>
      <c r="K105" s="2"/>
      <c r="L105" s="2"/>
      <c r="M105" s="94" t="s">
        <v>5</v>
      </c>
      <c r="N105" s="94" t="s">
        <v>6</v>
      </c>
      <c r="O105" s="94" t="s">
        <v>9</v>
      </c>
      <c r="P105" s="95" t="s">
        <v>10</v>
      </c>
      <c r="Q105" s="95" t="s">
        <v>7</v>
      </c>
      <c r="R105" s="94" t="s">
        <v>8</v>
      </c>
      <c r="S105" s="2"/>
      <c r="T105" s="2"/>
      <c r="U105" s="2"/>
      <c r="V105" s="2"/>
      <c r="W105" s="2"/>
      <c r="X105" s="2"/>
      <c r="Y105" s="2"/>
      <c r="Z105" s="2"/>
      <c r="AA105" s="105"/>
      <c r="AB105" s="105"/>
      <c r="AC105" s="105"/>
      <c r="AD105" s="105"/>
    </row>
    <row r="106">
      <c r="A106" s="2"/>
      <c r="B106" s="2"/>
      <c r="C106" s="78"/>
      <c r="D106" s="78"/>
      <c r="E106" s="78"/>
      <c r="F106" s="2"/>
      <c r="G106" s="2"/>
      <c r="H106" s="2"/>
      <c r="I106" s="2"/>
      <c r="J106" s="2"/>
      <c r="K106" s="2"/>
      <c r="L106" s="2"/>
      <c r="M106" s="40">
        <v>45751.0</v>
      </c>
      <c r="N106" s="37" t="s">
        <v>20</v>
      </c>
      <c r="O106" s="37" t="s">
        <v>16</v>
      </c>
      <c r="P106" s="36" t="s">
        <v>233</v>
      </c>
      <c r="Q106" s="38">
        <v>99.99</v>
      </c>
      <c r="R106" s="37" t="s">
        <v>21</v>
      </c>
      <c r="S106" s="2"/>
      <c r="T106" s="2"/>
      <c r="U106" s="2"/>
      <c r="V106" s="2"/>
      <c r="W106" s="2"/>
      <c r="X106" s="2"/>
      <c r="Y106" s="2"/>
      <c r="Z106" s="2"/>
      <c r="AA106" s="105"/>
      <c r="AB106" s="105"/>
      <c r="AC106" s="105"/>
      <c r="AD106" s="105"/>
    </row>
    <row r="107">
      <c r="A107" s="2"/>
      <c r="B107" s="2"/>
      <c r="C107" s="78"/>
      <c r="D107" s="78"/>
      <c r="E107" s="78"/>
      <c r="F107" s="2"/>
      <c r="G107" s="2"/>
      <c r="H107" s="2"/>
      <c r="I107" s="2"/>
      <c r="J107" s="2"/>
      <c r="K107" s="2"/>
      <c r="L107" s="2"/>
      <c r="M107" s="40">
        <v>45905.0</v>
      </c>
      <c r="N107" s="37" t="s">
        <v>51</v>
      </c>
      <c r="O107" s="37" t="s">
        <v>16</v>
      </c>
      <c r="P107" s="36" t="s">
        <v>234</v>
      </c>
      <c r="Q107" s="38">
        <v>100.07</v>
      </c>
      <c r="R107" s="37" t="s">
        <v>17</v>
      </c>
      <c r="S107" s="2"/>
      <c r="T107" s="2"/>
      <c r="U107" s="2"/>
      <c r="V107" s="2"/>
      <c r="W107" s="2"/>
      <c r="X107" s="2"/>
      <c r="Y107" s="2"/>
      <c r="Z107" s="2"/>
      <c r="AA107" s="105"/>
      <c r="AB107" s="105"/>
      <c r="AC107" s="105"/>
      <c r="AD107" s="105"/>
    </row>
    <row r="108">
      <c r="A108" s="2"/>
      <c r="B108" s="2"/>
      <c r="C108" s="78"/>
      <c r="D108" s="78"/>
      <c r="E108" s="78"/>
      <c r="F108" s="2"/>
      <c r="G108" s="2"/>
      <c r="H108" s="2"/>
      <c r="I108" s="2"/>
      <c r="J108" s="2"/>
      <c r="K108" s="2"/>
      <c r="L108" s="2"/>
      <c r="M108" s="96">
        <v>45926.0</v>
      </c>
      <c r="N108" s="97" t="s">
        <v>88</v>
      </c>
      <c r="O108" s="97" t="s">
        <v>55</v>
      </c>
      <c r="P108" s="114" t="s">
        <v>155</v>
      </c>
      <c r="Q108" s="99">
        <v>106.66</v>
      </c>
      <c r="R108" s="97" t="s">
        <v>17</v>
      </c>
      <c r="S108" s="2"/>
      <c r="T108" s="2"/>
      <c r="U108" s="2"/>
      <c r="V108" s="2"/>
      <c r="W108" s="2"/>
      <c r="X108" s="2"/>
      <c r="Y108" s="2"/>
      <c r="Z108" s="2"/>
      <c r="AA108" s="105"/>
      <c r="AB108" s="105"/>
      <c r="AC108" s="105"/>
      <c r="AD108" s="105"/>
    </row>
    <row r="109">
      <c r="A109" s="2"/>
      <c r="B109" s="2"/>
      <c r="C109" s="78"/>
      <c r="D109" s="78"/>
      <c r="E109" s="78"/>
      <c r="F109" s="2"/>
      <c r="G109" s="2"/>
      <c r="H109" s="2"/>
      <c r="I109" s="2"/>
      <c r="J109" s="2"/>
      <c r="K109" s="2"/>
      <c r="L109" s="2"/>
      <c r="M109" s="96">
        <v>45926.0</v>
      </c>
      <c r="N109" s="97" t="s">
        <v>88</v>
      </c>
      <c r="O109" s="97" t="s">
        <v>55</v>
      </c>
      <c r="P109" s="114" t="s">
        <v>155</v>
      </c>
      <c r="Q109" s="99">
        <v>106.66</v>
      </c>
      <c r="R109" s="97" t="s">
        <v>17</v>
      </c>
      <c r="S109" s="2"/>
      <c r="T109" s="2"/>
      <c r="U109" s="2"/>
      <c r="V109" s="2"/>
      <c r="W109" s="2"/>
      <c r="X109" s="2"/>
      <c r="Y109" s="2"/>
      <c r="Z109" s="2"/>
      <c r="AA109" s="105"/>
      <c r="AB109" s="105"/>
      <c r="AC109" s="105"/>
      <c r="AD109" s="105"/>
    </row>
    <row r="110">
      <c r="A110" s="2"/>
      <c r="B110" s="2"/>
      <c r="C110" s="78"/>
      <c r="D110" s="78"/>
      <c r="E110" s="78"/>
      <c r="F110" s="2"/>
      <c r="G110" s="2"/>
      <c r="H110" s="2"/>
      <c r="I110" s="2"/>
      <c r="J110" s="2"/>
      <c r="K110" s="2"/>
      <c r="L110" s="2"/>
      <c r="M110" s="96">
        <v>45946.0</v>
      </c>
      <c r="N110" s="97" t="s">
        <v>139</v>
      </c>
      <c r="O110" s="97" t="s">
        <v>133</v>
      </c>
      <c r="P110" s="114" t="s">
        <v>235</v>
      </c>
      <c r="Q110" s="99">
        <v>99.82</v>
      </c>
      <c r="R110" s="97" t="s">
        <v>17</v>
      </c>
      <c r="S110" s="2"/>
      <c r="T110" s="2"/>
      <c r="U110" s="2"/>
      <c r="V110" s="2"/>
      <c r="W110" s="2"/>
      <c r="X110" s="2"/>
      <c r="Y110" s="2"/>
      <c r="Z110" s="2"/>
      <c r="AA110" s="105"/>
      <c r="AB110" s="105"/>
      <c r="AC110" s="105"/>
      <c r="AD110" s="105"/>
    </row>
    <row r="111">
      <c r="A111" s="2"/>
      <c r="B111" s="2"/>
      <c r="C111" s="78"/>
      <c r="D111" s="78"/>
      <c r="E111" s="78"/>
      <c r="F111" s="2"/>
      <c r="G111" s="2"/>
      <c r="H111" s="2"/>
      <c r="I111" s="2"/>
      <c r="J111" s="2"/>
      <c r="K111" s="2"/>
      <c r="L111" s="2"/>
      <c r="M111" s="59">
        <v>45952.0</v>
      </c>
      <c r="N111" s="60" t="s">
        <v>175</v>
      </c>
      <c r="O111" s="60" t="s">
        <v>59</v>
      </c>
      <c r="P111" s="114" t="s">
        <v>236</v>
      </c>
      <c r="Q111" s="62">
        <v>133.22</v>
      </c>
      <c r="R111" s="60" t="s">
        <v>17</v>
      </c>
      <c r="S111" s="2"/>
      <c r="T111" s="2"/>
      <c r="U111" s="2"/>
      <c r="V111" s="2"/>
      <c r="W111" s="2"/>
      <c r="X111" s="2"/>
      <c r="Y111" s="2"/>
      <c r="Z111" s="2"/>
      <c r="AA111" s="105"/>
      <c r="AB111" s="105"/>
      <c r="AC111" s="105"/>
      <c r="AD111" s="105"/>
    </row>
    <row r="112">
      <c r="A112" s="2"/>
      <c r="B112" s="2"/>
      <c r="C112" s="78"/>
      <c r="D112" s="78"/>
      <c r="E112" s="78"/>
      <c r="F112" s="2"/>
      <c r="G112" s="2"/>
      <c r="H112" s="2"/>
      <c r="I112" s="2"/>
      <c r="J112" s="2"/>
      <c r="K112" s="2"/>
      <c r="L112" s="2"/>
      <c r="M112" s="59">
        <v>45952.0</v>
      </c>
      <c r="N112" s="60" t="s">
        <v>172</v>
      </c>
      <c r="O112" s="60" t="s">
        <v>27</v>
      </c>
      <c r="P112" s="114" t="s">
        <v>159</v>
      </c>
      <c r="Q112" s="62">
        <v>58.52</v>
      </c>
      <c r="R112" s="60" t="s">
        <v>17</v>
      </c>
      <c r="S112" s="2"/>
      <c r="T112" s="2"/>
      <c r="U112" s="2"/>
      <c r="V112" s="2"/>
      <c r="W112" s="2"/>
      <c r="X112" s="2"/>
      <c r="Y112" s="2"/>
      <c r="Z112" s="2"/>
      <c r="AA112" s="105"/>
      <c r="AB112" s="105"/>
      <c r="AC112" s="105"/>
      <c r="AD112" s="105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96">
        <v>45971.0</v>
      </c>
      <c r="N113" s="141" t="s">
        <v>209</v>
      </c>
      <c r="O113" s="141" t="s">
        <v>55</v>
      </c>
      <c r="P113" s="114" t="s">
        <v>162</v>
      </c>
      <c r="Q113" s="99">
        <v>77.93</v>
      </c>
      <c r="R113" s="141" t="s">
        <v>17</v>
      </c>
      <c r="S113" s="2"/>
      <c r="T113" s="2"/>
      <c r="U113" s="2"/>
      <c r="V113" s="2"/>
      <c r="W113" s="2"/>
      <c r="X113" s="2"/>
      <c r="Y113" s="2"/>
      <c r="Z113" s="2"/>
      <c r="AA113" s="105"/>
      <c r="AB113" s="105"/>
      <c r="AC113" s="105"/>
      <c r="AD113" s="105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96">
        <v>45972.0</v>
      </c>
      <c r="N114" s="141" t="s">
        <v>211</v>
      </c>
      <c r="O114" s="141" t="s">
        <v>55</v>
      </c>
      <c r="P114" s="114" t="s">
        <v>162</v>
      </c>
      <c r="Q114" s="99">
        <v>151.09</v>
      </c>
      <c r="R114" s="141" t="s">
        <v>17</v>
      </c>
      <c r="S114" s="2"/>
      <c r="T114" s="2"/>
      <c r="U114" s="2"/>
      <c r="V114" s="2"/>
      <c r="W114" s="2"/>
      <c r="X114" s="2"/>
      <c r="Y114" s="2"/>
      <c r="Z114" s="2"/>
      <c r="AA114" s="105"/>
      <c r="AB114" s="105"/>
      <c r="AC114" s="105"/>
      <c r="AD114" s="105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59">
        <v>45978.0</v>
      </c>
      <c r="N115" s="60" t="s">
        <v>223</v>
      </c>
      <c r="O115" s="60" t="s">
        <v>27</v>
      </c>
      <c r="P115" s="114" t="s">
        <v>159</v>
      </c>
      <c r="Q115" s="62">
        <v>118.41</v>
      </c>
      <c r="R115" s="60" t="s">
        <v>17</v>
      </c>
      <c r="S115" s="2"/>
      <c r="T115" s="2"/>
      <c r="U115" s="2"/>
      <c r="V115" s="2"/>
      <c r="W115" s="2"/>
      <c r="X115" s="2"/>
      <c r="Y115" s="2"/>
      <c r="Z115" s="2"/>
      <c r="AA115" s="105"/>
      <c r="AB115" s="105"/>
      <c r="AC115" s="105"/>
      <c r="AD115" s="105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96"/>
      <c r="N116" s="97"/>
      <c r="O116" s="97"/>
      <c r="P116" s="114"/>
      <c r="Q116" s="99"/>
      <c r="R116" s="97"/>
      <c r="S116" s="2"/>
      <c r="T116" s="2"/>
      <c r="U116" s="2"/>
      <c r="V116" s="2"/>
      <c r="W116" s="2"/>
      <c r="X116" s="2"/>
      <c r="Y116" s="2"/>
      <c r="Z116" s="2"/>
      <c r="AA116" s="105"/>
      <c r="AB116" s="105"/>
      <c r="AC116" s="105"/>
      <c r="AD116" s="105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96"/>
      <c r="N117" s="97"/>
      <c r="O117" s="97"/>
      <c r="P117" s="114"/>
      <c r="Q117" s="99"/>
      <c r="R117" s="97"/>
      <c r="S117" s="2"/>
      <c r="T117" s="2"/>
      <c r="U117" s="2"/>
      <c r="V117" s="2"/>
      <c r="W117" s="2"/>
      <c r="X117" s="2"/>
      <c r="Y117" s="2"/>
      <c r="Z117" s="2"/>
      <c r="AA117" s="105"/>
      <c r="AB117" s="105"/>
      <c r="AC117" s="105"/>
      <c r="AD117" s="105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4"/>
      <c r="M118" s="96"/>
      <c r="N118" s="97"/>
      <c r="O118" s="97"/>
      <c r="P118" s="114"/>
      <c r="Q118" s="99"/>
      <c r="R118" s="97"/>
      <c r="S118" s="9"/>
      <c r="T118" s="2"/>
      <c r="U118" s="2"/>
      <c r="V118" s="2"/>
      <c r="W118" s="2"/>
      <c r="X118" s="2"/>
      <c r="Y118" s="2"/>
      <c r="Z118" s="2"/>
      <c r="AA118" s="105"/>
      <c r="AB118" s="105"/>
      <c r="AC118" s="105"/>
      <c r="AD118" s="105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4"/>
      <c r="M119" s="96"/>
      <c r="N119" s="97"/>
      <c r="O119" s="97"/>
      <c r="P119" s="114"/>
      <c r="Q119" s="99"/>
      <c r="R119" s="97"/>
      <c r="S119" s="9"/>
      <c r="T119" s="2"/>
      <c r="U119" s="2"/>
      <c r="V119" s="2"/>
      <c r="W119" s="2"/>
      <c r="X119" s="2"/>
      <c r="Y119" s="2"/>
      <c r="Z119" s="2"/>
      <c r="AA119" s="105"/>
      <c r="AB119" s="105"/>
      <c r="AC119" s="105"/>
      <c r="AD119" s="105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4"/>
      <c r="M120" s="96"/>
      <c r="N120" s="97"/>
      <c r="O120" s="97"/>
      <c r="P120" s="114"/>
      <c r="Q120" s="99"/>
      <c r="R120" s="97"/>
      <c r="S120" s="9"/>
      <c r="T120" s="2"/>
      <c r="U120" s="2"/>
      <c r="V120" s="2"/>
      <c r="W120" s="2"/>
      <c r="X120" s="2"/>
      <c r="Y120" s="2"/>
      <c r="Z120" s="2"/>
      <c r="AA120" s="105"/>
      <c r="AB120" s="105"/>
      <c r="AC120" s="105"/>
      <c r="AD120" s="105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4"/>
      <c r="M121" s="102"/>
      <c r="N121" s="103" t="s">
        <v>47</v>
      </c>
      <c r="O121" s="102"/>
      <c r="P121" s="104"/>
      <c r="Q121" s="104">
        <f>SUM(Q106:Q117)</f>
        <v>1052.37</v>
      </c>
      <c r="R121" s="102"/>
      <c r="S121" s="2"/>
      <c r="T121" s="2"/>
      <c r="U121" s="2"/>
      <c r="V121" s="2"/>
      <c r="W121" s="2"/>
      <c r="X121" s="2"/>
      <c r="Y121" s="2"/>
      <c r="Z121" s="2"/>
      <c r="AA121" s="105"/>
      <c r="AB121" s="105"/>
      <c r="AC121" s="105"/>
      <c r="AD121" s="105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5"/>
      <c r="N122" s="15"/>
      <c r="O122" s="15"/>
      <c r="P122" s="15"/>
      <c r="Q122" s="15"/>
      <c r="R122" s="15"/>
      <c r="S122" s="2"/>
      <c r="T122" s="2"/>
      <c r="U122" s="2"/>
      <c r="V122" s="2"/>
      <c r="W122" s="2"/>
      <c r="X122" s="2"/>
      <c r="Y122" s="2"/>
      <c r="Z122" s="2"/>
      <c r="AA122" s="105"/>
      <c r="AB122" s="105"/>
      <c r="AC122" s="105"/>
      <c r="AD122" s="105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105"/>
      <c r="AB123" s="105"/>
      <c r="AC123" s="105"/>
      <c r="AD123" s="105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105"/>
      <c r="AB124" s="105"/>
      <c r="AC124" s="105"/>
      <c r="AD124" s="105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105"/>
      <c r="AB125" s="105"/>
      <c r="AC125" s="105"/>
      <c r="AD125" s="105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105"/>
      <c r="AB126" s="105"/>
      <c r="AC126" s="105"/>
      <c r="AD126" s="105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105"/>
      <c r="AB127" s="105"/>
      <c r="AC127" s="105"/>
      <c r="AD127" s="105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105"/>
      <c r="AB128" s="105"/>
      <c r="AC128" s="105"/>
      <c r="AD128" s="105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105"/>
      <c r="AB129" s="105"/>
      <c r="AC129" s="105"/>
      <c r="AD129" s="105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105"/>
      <c r="AB130" s="105"/>
      <c r="AC130" s="105"/>
      <c r="AD130" s="105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105"/>
      <c r="AB131" s="105"/>
      <c r="AC131" s="105"/>
      <c r="AD131" s="105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105"/>
      <c r="AB132" s="105"/>
      <c r="AC132" s="105"/>
      <c r="AD132" s="105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105"/>
      <c r="AB133" s="105"/>
      <c r="AC133" s="105"/>
      <c r="AD133" s="105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105"/>
      <c r="AB134" s="105"/>
      <c r="AC134" s="105"/>
      <c r="AD134" s="105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105"/>
      <c r="AB135" s="105"/>
      <c r="AC135" s="105"/>
      <c r="AD135" s="105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105"/>
      <c r="AB136" s="105"/>
      <c r="AC136" s="105"/>
      <c r="AD136" s="105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105"/>
      <c r="AB137" s="105"/>
      <c r="AC137" s="105"/>
      <c r="AD137" s="105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105"/>
      <c r="AB138" s="105"/>
      <c r="AC138" s="105"/>
      <c r="AD138" s="105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105"/>
      <c r="AB139" s="105"/>
      <c r="AC139" s="105"/>
      <c r="AD139" s="105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105"/>
      <c r="AB140" s="105"/>
      <c r="AC140" s="105"/>
      <c r="AD140" s="105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105"/>
      <c r="AB141" s="105"/>
      <c r="AC141" s="105"/>
      <c r="AD141" s="105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105"/>
      <c r="AB142" s="105"/>
      <c r="AC142" s="105"/>
      <c r="AD142" s="105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105"/>
      <c r="AB143" s="105"/>
      <c r="AC143" s="105"/>
      <c r="AD143" s="105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105"/>
      <c r="AB144" s="105"/>
      <c r="AC144" s="105"/>
      <c r="AD144" s="105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105"/>
      <c r="AB145" s="105"/>
      <c r="AC145" s="105"/>
      <c r="AD145" s="105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105"/>
      <c r="AB146" s="105"/>
      <c r="AC146" s="105"/>
      <c r="AD146" s="105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105"/>
      <c r="AB147" s="105"/>
      <c r="AC147" s="105"/>
      <c r="AD147" s="105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105"/>
      <c r="AB148" s="105"/>
      <c r="AC148" s="105"/>
      <c r="AD148" s="105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105"/>
      <c r="AB149" s="105"/>
      <c r="AC149" s="105"/>
      <c r="AD149" s="105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105"/>
      <c r="AB150" s="105"/>
      <c r="AC150" s="105"/>
      <c r="AD150" s="105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105"/>
      <c r="AB151" s="105"/>
      <c r="AC151" s="105"/>
      <c r="AD151" s="105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105"/>
      <c r="AB152" s="105"/>
      <c r="AC152" s="105"/>
      <c r="AD152" s="105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105"/>
      <c r="AB153" s="105"/>
      <c r="AC153" s="105"/>
      <c r="AD153" s="105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105"/>
      <c r="AB154" s="105"/>
      <c r="AC154" s="105"/>
      <c r="AD154" s="105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105"/>
      <c r="AB155" s="105"/>
      <c r="AC155" s="105"/>
      <c r="AD155" s="105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105"/>
      <c r="AB156" s="105"/>
      <c r="AC156" s="105"/>
      <c r="AD156" s="105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105"/>
      <c r="AB157" s="105"/>
      <c r="AC157" s="105"/>
      <c r="AD157" s="105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105"/>
      <c r="AB158" s="105"/>
      <c r="AC158" s="105"/>
      <c r="AD158" s="105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105"/>
      <c r="AB159" s="105"/>
      <c r="AC159" s="105"/>
      <c r="AD159" s="105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105"/>
      <c r="AB160" s="105"/>
      <c r="AC160" s="105"/>
      <c r="AD160" s="105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105"/>
      <c r="AB161" s="105"/>
      <c r="AC161" s="105"/>
      <c r="AD161" s="105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105"/>
      <c r="AB162" s="105"/>
      <c r="AC162" s="105"/>
      <c r="AD162" s="105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105"/>
      <c r="AB163" s="105"/>
      <c r="AC163" s="105"/>
      <c r="AD163" s="105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105"/>
      <c r="AB164" s="105"/>
      <c r="AC164" s="105"/>
      <c r="AD164" s="105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105"/>
      <c r="AB165" s="105"/>
      <c r="AC165" s="105"/>
      <c r="AD165" s="105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105"/>
      <c r="AB166" s="105"/>
      <c r="AC166" s="105"/>
      <c r="AD166" s="105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105"/>
      <c r="AB167" s="105"/>
      <c r="AC167" s="105"/>
      <c r="AD167" s="105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105"/>
      <c r="AB168" s="105"/>
      <c r="AC168" s="105"/>
      <c r="AD168" s="105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105"/>
      <c r="AB169" s="105"/>
      <c r="AC169" s="105"/>
      <c r="AD169" s="105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105"/>
      <c r="AB170" s="105"/>
      <c r="AC170" s="105"/>
      <c r="AD170" s="105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105"/>
      <c r="AB171" s="105"/>
      <c r="AC171" s="105"/>
      <c r="AD171" s="105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105"/>
      <c r="AB172" s="105"/>
      <c r="AC172" s="105"/>
      <c r="AD172" s="105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105"/>
      <c r="AB173" s="105"/>
      <c r="AC173" s="105"/>
      <c r="AD173" s="105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105"/>
      <c r="AB174" s="105"/>
      <c r="AC174" s="105"/>
      <c r="AD174" s="105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105"/>
      <c r="AB175" s="105"/>
      <c r="AC175" s="105"/>
      <c r="AD175" s="105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105"/>
      <c r="AB176" s="105"/>
      <c r="AC176" s="105"/>
      <c r="AD176" s="105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105"/>
      <c r="AB177" s="105"/>
      <c r="AC177" s="105"/>
      <c r="AD177" s="105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105"/>
      <c r="AB178" s="105"/>
      <c r="AC178" s="105"/>
      <c r="AD178" s="105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105"/>
      <c r="AB179" s="105"/>
      <c r="AC179" s="105"/>
      <c r="AD179" s="105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105"/>
      <c r="AB180" s="105"/>
      <c r="AC180" s="105"/>
      <c r="AD180" s="105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105"/>
      <c r="AB181" s="105"/>
      <c r="AC181" s="105"/>
      <c r="AD181" s="105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105"/>
      <c r="AB182" s="105"/>
      <c r="AC182" s="105"/>
      <c r="AD182" s="105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105"/>
      <c r="AB183" s="105"/>
      <c r="AC183" s="105"/>
      <c r="AD183" s="105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105"/>
      <c r="AB184" s="105"/>
      <c r="AC184" s="105"/>
      <c r="AD184" s="105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105"/>
      <c r="AB185" s="105"/>
      <c r="AC185" s="105"/>
      <c r="AD185" s="105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105"/>
      <c r="AB186" s="105"/>
      <c r="AC186" s="105"/>
      <c r="AD186" s="105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105"/>
      <c r="AB187" s="105"/>
      <c r="AC187" s="105"/>
      <c r="AD187" s="105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105"/>
      <c r="AB188" s="105"/>
      <c r="AC188" s="105"/>
      <c r="AD188" s="105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105"/>
      <c r="AB189" s="105"/>
      <c r="AC189" s="105"/>
      <c r="AD189" s="105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105"/>
      <c r="AB190" s="105"/>
      <c r="AC190" s="105"/>
      <c r="AD190" s="105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105"/>
      <c r="AB191" s="105"/>
      <c r="AC191" s="105"/>
      <c r="AD191" s="105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105"/>
      <c r="AB192" s="105"/>
      <c r="AC192" s="105"/>
      <c r="AD192" s="105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105"/>
      <c r="AB193" s="105"/>
      <c r="AC193" s="105"/>
      <c r="AD193" s="105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105"/>
      <c r="AB194" s="105"/>
      <c r="AC194" s="105"/>
      <c r="AD194" s="105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105"/>
      <c r="AB195" s="105"/>
      <c r="AC195" s="105"/>
      <c r="AD195" s="105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105"/>
      <c r="AB196" s="105"/>
      <c r="AC196" s="105"/>
      <c r="AD196" s="105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105"/>
      <c r="AB197" s="105"/>
      <c r="AC197" s="105"/>
      <c r="AD197" s="105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105"/>
      <c r="AB198" s="105"/>
      <c r="AC198" s="105"/>
      <c r="AD198" s="105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105"/>
      <c r="AB199" s="105"/>
      <c r="AC199" s="105"/>
      <c r="AD199" s="105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105"/>
      <c r="AB200" s="105"/>
      <c r="AC200" s="105"/>
      <c r="AD200" s="105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105"/>
      <c r="AB201" s="105"/>
      <c r="AC201" s="105"/>
      <c r="AD201" s="105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105"/>
      <c r="AB202" s="105"/>
      <c r="AC202" s="105"/>
      <c r="AD202" s="105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105"/>
      <c r="AB203" s="105"/>
      <c r="AC203" s="105"/>
      <c r="AD203" s="105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105"/>
      <c r="AB204" s="105"/>
      <c r="AC204" s="105"/>
      <c r="AD204" s="105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105"/>
      <c r="AB205" s="105"/>
      <c r="AC205" s="105"/>
      <c r="AD205" s="105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105"/>
      <c r="AB206" s="105"/>
      <c r="AC206" s="105"/>
      <c r="AD206" s="105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105"/>
      <c r="AB207" s="105"/>
      <c r="AC207" s="105"/>
      <c r="AD207" s="105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105"/>
      <c r="AB208" s="105"/>
      <c r="AC208" s="105"/>
      <c r="AD208" s="105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105"/>
      <c r="AB209" s="105"/>
      <c r="AC209" s="105"/>
      <c r="AD209" s="105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105"/>
      <c r="AB210" s="105"/>
      <c r="AC210" s="105"/>
      <c r="AD210" s="105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105"/>
      <c r="AB211" s="105"/>
      <c r="AC211" s="105"/>
      <c r="AD211" s="105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105"/>
      <c r="AB212" s="105"/>
      <c r="AC212" s="105"/>
      <c r="AD212" s="105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105"/>
      <c r="AB213" s="105"/>
      <c r="AC213" s="105"/>
      <c r="AD213" s="105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105"/>
      <c r="AB214" s="105"/>
      <c r="AC214" s="105"/>
      <c r="AD214" s="105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105"/>
      <c r="AB215" s="105"/>
      <c r="AC215" s="105"/>
      <c r="AD215" s="105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105"/>
      <c r="AB216" s="105"/>
      <c r="AC216" s="105"/>
      <c r="AD216" s="105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105"/>
      <c r="AB217" s="105"/>
      <c r="AC217" s="105"/>
      <c r="AD217" s="105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105"/>
      <c r="AB218" s="105"/>
      <c r="AC218" s="105"/>
      <c r="AD218" s="105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105"/>
      <c r="AB219" s="105"/>
      <c r="AC219" s="105"/>
      <c r="AD219" s="105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105"/>
      <c r="AB220" s="105"/>
      <c r="AC220" s="105"/>
      <c r="AD220" s="105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105"/>
      <c r="AB221" s="105"/>
      <c r="AC221" s="105"/>
      <c r="AD221" s="105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105"/>
      <c r="AB222" s="105"/>
      <c r="AC222" s="105"/>
      <c r="AD222" s="105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105"/>
      <c r="AB223" s="105"/>
      <c r="AC223" s="105"/>
      <c r="AD223" s="105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105"/>
      <c r="AB224" s="105"/>
      <c r="AC224" s="105"/>
      <c r="AD224" s="105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105"/>
      <c r="AB225" s="105"/>
      <c r="AC225" s="105"/>
      <c r="AD225" s="105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105"/>
      <c r="AB226" s="105"/>
      <c r="AC226" s="105"/>
      <c r="AD226" s="105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105"/>
      <c r="AB227" s="105"/>
      <c r="AC227" s="105"/>
      <c r="AD227" s="105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105"/>
      <c r="AB228" s="105"/>
      <c r="AC228" s="105"/>
      <c r="AD228" s="105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105"/>
      <c r="AB229" s="105"/>
      <c r="AC229" s="105"/>
      <c r="AD229" s="105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105"/>
      <c r="AB230" s="105"/>
      <c r="AC230" s="105"/>
      <c r="AD230" s="105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105"/>
      <c r="AB231" s="105"/>
      <c r="AC231" s="105"/>
      <c r="AD231" s="105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105"/>
      <c r="AB232" s="105"/>
      <c r="AC232" s="105"/>
      <c r="AD232" s="105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105"/>
      <c r="AB233" s="105"/>
      <c r="AC233" s="105"/>
      <c r="AD233" s="105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105"/>
      <c r="AB234" s="105"/>
      <c r="AC234" s="105"/>
      <c r="AD234" s="105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105"/>
      <c r="AB235" s="105"/>
      <c r="AC235" s="105"/>
      <c r="AD235" s="105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105"/>
      <c r="AB236" s="105"/>
      <c r="AC236" s="105"/>
      <c r="AD236" s="105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105"/>
      <c r="AB237" s="105"/>
      <c r="AC237" s="105"/>
      <c r="AD237" s="105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105"/>
      <c r="AB238" s="105"/>
      <c r="AC238" s="105"/>
      <c r="AD238" s="105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105"/>
      <c r="AB239" s="105"/>
      <c r="AC239" s="105"/>
      <c r="AD239" s="105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105"/>
      <c r="AB240" s="105"/>
      <c r="AC240" s="105"/>
      <c r="AD240" s="105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105"/>
      <c r="AB241" s="105"/>
      <c r="AC241" s="105"/>
      <c r="AD241" s="105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105"/>
      <c r="AB242" s="105"/>
      <c r="AC242" s="105"/>
      <c r="AD242" s="105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105"/>
      <c r="AB243" s="105"/>
      <c r="AC243" s="105"/>
      <c r="AD243" s="105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105"/>
      <c r="AB244" s="105"/>
      <c r="AC244" s="105"/>
      <c r="AD244" s="105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105"/>
      <c r="AB245" s="105"/>
      <c r="AC245" s="105"/>
      <c r="AD245" s="105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105"/>
      <c r="AB246" s="105"/>
      <c r="AC246" s="105"/>
      <c r="AD246" s="105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105"/>
      <c r="AB247" s="105"/>
      <c r="AC247" s="105"/>
      <c r="AD247" s="105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105"/>
      <c r="AB248" s="105"/>
      <c r="AC248" s="105"/>
      <c r="AD248" s="105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105"/>
      <c r="AB249" s="105"/>
      <c r="AC249" s="105"/>
      <c r="AD249" s="105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105"/>
      <c r="AB250" s="105"/>
      <c r="AC250" s="105"/>
      <c r="AD250" s="105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105"/>
      <c r="AB251" s="105"/>
      <c r="AC251" s="105"/>
      <c r="AD251" s="105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105"/>
      <c r="AB252" s="105"/>
      <c r="AC252" s="105"/>
      <c r="AD252" s="105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105"/>
      <c r="AB253" s="105"/>
      <c r="AC253" s="105"/>
      <c r="AD253" s="105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105"/>
      <c r="AB254" s="105"/>
      <c r="AC254" s="105"/>
      <c r="AD254" s="105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105"/>
      <c r="AB255" s="105"/>
      <c r="AC255" s="105"/>
      <c r="AD255" s="105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105"/>
      <c r="AB256" s="105"/>
      <c r="AC256" s="105"/>
      <c r="AD256" s="105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105"/>
      <c r="AB257" s="105"/>
      <c r="AC257" s="105"/>
      <c r="AD257" s="105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105"/>
      <c r="AB258" s="105"/>
      <c r="AC258" s="105"/>
      <c r="AD258" s="105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105"/>
      <c r="AB259" s="105"/>
      <c r="AC259" s="105"/>
      <c r="AD259" s="105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105"/>
      <c r="AB260" s="105"/>
      <c r="AC260" s="105"/>
      <c r="AD260" s="105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105"/>
      <c r="AB261" s="105"/>
      <c r="AC261" s="105"/>
      <c r="AD261" s="105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105"/>
      <c r="AB262" s="105"/>
      <c r="AC262" s="105"/>
      <c r="AD262" s="105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105"/>
      <c r="AB263" s="105"/>
      <c r="AC263" s="105"/>
      <c r="AD263" s="105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105"/>
      <c r="AB264" s="105"/>
      <c r="AC264" s="105"/>
      <c r="AD264" s="105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105"/>
      <c r="AB265" s="105"/>
      <c r="AC265" s="105"/>
      <c r="AD265" s="105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105"/>
      <c r="AB266" s="105"/>
      <c r="AC266" s="105"/>
      <c r="AD266" s="105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105"/>
      <c r="AB267" s="105"/>
      <c r="AC267" s="105"/>
      <c r="AD267" s="105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105"/>
      <c r="AB268" s="105"/>
      <c r="AC268" s="105"/>
      <c r="AD268" s="105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105"/>
      <c r="AB269" s="105"/>
      <c r="AC269" s="105"/>
      <c r="AD269" s="105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105"/>
      <c r="AB270" s="105"/>
      <c r="AC270" s="105"/>
      <c r="AD270" s="105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105"/>
      <c r="AB271" s="105"/>
      <c r="AC271" s="105"/>
      <c r="AD271" s="105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105"/>
      <c r="AB272" s="105"/>
      <c r="AC272" s="105"/>
      <c r="AD272" s="105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105"/>
      <c r="AB273" s="105"/>
      <c r="AC273" s="105"/>
      <c r="AD273" s="105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105"/>
      <c r="AB274" s="105"/>
      <c r="AC274" s="105"/>
      <c r="AD274" s="105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105"/>
      <c r="AB275" s="105"/>
      <c r="AC275" s="105"/>
      <c r="AD275" s="105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105"/>
      <c r="AB276" s="105"/>
      <c r="AC276" s="105"/>
      <c r="AD276" s="105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105"/>
      <c r="AB277" s="105"/>
      <c r="AC277" s="105"/>
      <c r="AD277" s="105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105"/>
      <c r="AB278" s="105"/>
      <c r="AC278" s="105"/>
      <c r="AD278" s="105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105"/>
      <c r="AB279" s="105"/>
      <c r="AC279" s="105"/>
      <c r="AD279" s="105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105"/>
      <c r="AB280" s="105"/>
      <c r="AC280" s="105"/>
      <c r="AD280" s="105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105"/>
      <c r="AB281" s="105"/>
      <c r="AC281" s="105"/>
      <c r="AD281" s="105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105"/>
      <c r="AB282" s="105"/>
      <c r="AC282" s="105"/>
      <c r="AD282" s="105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105"/>
      <c r="AB283" s="105"/>
      <c r="AC283" s="105"/>
      <c r="AD283" s="105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105"/>
      <c r="AB284" s="105"/>
      <c r="AC284" s="105"/>
      <c r="AD284" s="105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105"/>
      <c r="AB285" s="105"/>
      <c r="AC285" s="105"/>
      <c r="AD285" s="105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105"/>
      <c r="AB286" s="105"/>
      <c r="AC286" s="105"/>
      <c r="AD286" s="105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105"/>
      <c r="AB287" s="105"/>
      <c r="AC287" s="105"/>
      <c r="AD287" s="105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105"/>
      <c r="AB288" s="105"/>
      <c r="AC288" s="105"/>
      <c r="AD288" s="105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105"/>
      <c r="AB289" s="105"/>
      <c r="AC289" s="105"/>
      <c r="AD289" s="105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105"/>
      <c r="AB290" s="105"/>
      <c r="AC290" s="105"/>
      <c r="AD290" s="105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105"/>
      <c r="AB291" s="105"/>
      <c r="AC291" s="105"/>
      <c r="AD291" s="105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105"/>
      <c r="AB292" s="105"/>
      <c r="AC292" s="105"/>
      <c r="AD292" s="105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105"/>
      <c r="AB293" s="105"/>
      <c r="AC293" s="105"/>
      <c r="AD293" s="105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105"/>
      <c r="AB294" s="105"/>
      <c r="AC294" s="105"/>
      <c r="AD294" s="105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105"/>
      <c r="AB295" s="105"/>
      <c r="AC295" s="105"/>
      <c r="AD295" s="105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105"/>
      <c r="AB296" s="105"/>
      <c r="AC296" s="105"/>
      <c r="AD296" s="105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105"/>
      <c r="AB297" s="105"/>
      <c r="AC297" s="105"/>
      <c r="AD297" s="105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105"/>
      <c r="AB298" s="105"/>
      <c r="AC298" s="105"/>
      <c r="AD298" s="105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105"/>
      <c r="AB299" s="105"/>
      <c r="AC299" s="105"/>
      <c r="AD299" s="105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105"/>
      <c r="AB300" s="105"/>
      <c r="AC300" s="105"/>
      <c r="AD300" s="105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105"/>
      <c r="AB301" s="105"/>
      <c r="AC301" s="105"/>
      <c r="AD301" s="105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105"/>
      <c r="AB302" s="105"/>
      <c r="AC302" s="105"/>
      <c r="AD302" s="105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105"/>
      <c r="AB303" s="105"/>
      <c r="AC303" s="105"/>
      <c r="AD303" s="105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105"/>
      <c r="AB304" s="105"/>
      <c r="AC304" s="105"/>
      <c r="AD304" s="105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105"/>
      <c r="AB305" s="105"/>
      <c r="AC305" s="105"/>
      <c r="AD305" s="105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105"/>
      <c r="AB306" s="105"/>
      <c r="AC306" s="105"/>
      <c r="AD306" s="105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105"/>
      <c r="AB307" s="105"/>
      <c r="AC307" s="105"/>
      <c r="AD307" s="105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105"/>
      <c r="AB308" s="105"/>
      <c r="AC308" s="105"/>
      <c r="AD308" s="105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105"/>
      <c r="AB309" s="105"/>
      <c r="AC309" s="105"/>
      <c r="AD309" s="105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105"/>
      <c r="AB310" s="105"/>
      <c r="AC310" s="105"/>
      <c r="AD310" s="105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105"/>
      <c r="AB311" s="105"/>
      <c r="AC311" s="105"/>
      <c r="AD311" s="105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105"/>
      <c r="AB312" s="105"/>
      <c r="AC312" s="105"/>
      <c r="AD312" s="105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105"/>
      <c r="AB313" s="105"/>
      <c r="AC313" s="105"/>
      <c r="AD313" s="105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105"/>
      <c r="AB314" s="105"/>
      <c r="AC314" s="105"/>
      <c r="AD314" s="105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105"/>
      <c r="AB315" s="105"/>
      <c r="AC315" s="105"/>
      <c r="AD315" s="105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105"/>
      <c r="AB316" s="105"/>
      <c r="AC316" s="105"/>
      <c r="AD316" s="105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105"/>
      <c r="AB317" s="105"/>
      <c r="AC317" s="105"/>
      <c r="AD317" s="105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105"/>
      <c r="AB318" s="105"/>
      <c r="AC318" s="105"/>
      <c r="AD318" s="105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105"/>
      <c r="AB319" s="105"/>
      <c r="AC319" s="105"/>
      <c r="AD319" s="105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105"/>
      <c r="AB320" s="105"/>
      <c r="AC320" s="105"/>
      <c r="AD320" s="105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105"/>
      <c r="AB321" s="105"/>
      <c r="AC321" s="105"/>
      <c r="AD321" s="105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105"/>
      <c r="AB322" s="105"/>
      <c r="AC322" s="105"/>
      <c r="AD322" s="105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105"/>
      <c r="AB323" s="105"/>
      <c r="AC323" s="105"/>
      <c r="AD323" s="105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105"/>
      <c r="AB324" s="105"/>
      <c r="AC324" s="105"/>
      <c r="AD324" s="105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105"/>
      <c r="AB325" s="105"/>
      <c r="AC325" s="105"/>
      <c r="AD325" s="105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105"/>
      <c r="AB326" s="105"/>
      <c r="AC326" s="105"/>
      <c r="AD326" s="105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105"/>
      <c r="AB327" s="105"/>
      <c r="AC327" s="105"/>
      <c r="AD327" s="105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105"/>
      <c r="AB328" s="105"/>
      <c r="AC328" s="105"/>
      <c r="AD328" s="105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105"/>
      <c r="AB329" s="105"/>
      <c r="AC329" s="105"/>
      <c r="AD329" s="105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105"/>
      <c r="AB330" s="105"/>
      <c r="AC330" s="105"/>
      <c r="AD330" s="105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105"/>
      <c r="AB331" s="105"/>
      <c r="AC331" s="105"/>
      <c r="AD331" s="105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105"/>
      <c r="AB332" s="105"/>
      <c r="AC332" s="105"/>
      <c r="AD332" s="105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105"/>
      <c r="AB333" s="105"/>
      <c r="AC333" s="105"/>
      <c r="AD333" s="105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105"/>
      <c r="AB334" s="105"/>
      <c r="AC334" s="105"/>
      <c r="AD334" s="105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105"/>
      <c r="AB335" s="105"/>
      <c r="AC335" s="105"/>
      <c r="AD335" s="105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105"/>
      <c r="AB336" s="105"/>
      <c r="AC336" s="105"/>
      <c r="AD336" s="105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105"/>
      <c r="AB337" s="105"/>
      <c r="AC337" s="105"/>
      <c r="AD337" s="105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105"/>
      <c r="AB338" s="105"/>
      <c r="AC338" s="105"/>
      <c r="AD338" s="105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105"/>
      <c r="AB339" s="105"/>
      <c r="AC339" s="105"/>
      <c r="AD339" s="105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105"/>
      <c r="AB340" s="105"/>
      <c r="AC340" s="105"/>
      <c r="AD340" s="105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105"/>
      <c r="AB341" s="105"/>
      <c r="AC341" s="105"/>
      <c r="AD341" s="105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105"/>
      <c r="AB342" s="105"/>
      <c r="AC342" s="105"/>
      <c r="AD342" s="105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105"/>
      <c r="AB343" s="105"/>
      <c r="AC343" s="105"/>
      <c r="AD343" s="105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105"/>
      <c r="AB344" s="105"/>
      <c r="AC344" s="105"/>
      <c r="AD344" s="105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105"/>
      <c r="AB345" s="105"/>
      <c r="AC345" s="105"/>
      <c r="AD345" s="105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105"/>
      <c r="AB346" s="105"/>
      <c r="AC346" s="105"/>
      <c r="AD346" s="105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105"/>
      <c r="AB347" s="105"/>
      <c r="AC347" s="105"/>
      <c r="AD347" s="105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105"/>
      <c r="AB348" s="105"/>
      <c r="AC348" s="105"/>
      <c r="AD348" s="105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105"/>
      <c r="AB349" s="105"/>
      <c r="AC349" s="105"/>
      <c r="AD349" s="105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105"/>
      <c r="AB350" s="105"/>
      <c r="AC350" s="105"/>
      <c r="AD350" s="105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105"/>
      <c r="AB351" s="105"/>
      <c r="AC351" s="105"/>
      <c r="AD351" s="105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105"/>
      <c r="AB352" s="105"/>
      <c r="AC352" s="105"/>
      <c r="AD352" s="105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105"/>
      <c r="AB353" s="105"/>
      <c r="AC353" s="105"/>
      <c r="AD353" s="105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105"/>
      <c r="AB354" s="105"/>
      <c r="AC354" s="105"/>
      <c r="AD354" s="105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105"/>
      <c r="AB355" s="105"/>
      <c r="AC355" s="105"/>
      <c r="AD355" s="105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105"/>
      <c r="AB356" s="105"/>
      <c r="AC356" s="105"/>
      <c r="AD356" s="105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105"/>
      <c r="AB357" s="105"/>
      <c r="AC357" s="105"/>
      <c r="AD357" s="105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105"/>
      <c r="AB358" s="105"/>
      <c r="AC358" s="105"/>
      <c r="AD358" s="105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105"/>
      <c r="AB359" s="105"/>
      <c r="AC359" s="105"/>
      <c r="AD359" s="105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105"/>
      <c r="AB360" s="105"/>
      <c r="AC360" s="105"/>
      <c r="AD360" s="105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105"/>
      <c r="AB361" s="105"/>
      <c r="AC361" s="105"/>
      <c r="AD361" s="105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105"/>
      <c r="AB362" s="105"/>
      <c r="AC362" s="105"/>
      <c r="AD362" s="105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105"/>
      <c r="AB363" s="105"/>
      <c r="AC363" s="105"/>
      <c r="AD363" s="105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105"/>
      <c r="AB364" s="105"/>
      <c r="AC364" s="105"/>
      <c r="AD364" s="105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105"/>
      <c r="AB365" s="105"/>
      <c r="AC365" s="105"/>
      <c r="AD365" s="105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105"/>
      <c r="AB366" s="105"/>
      <c r="AC366" s="105"/>
      <c r="AD366" s="105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105"/>
      <c r="AB367" s="105"/>
      <c r="AC367" s="105"/>
      <c r="AD367" s="105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105"/>
      <c r="AB368" s="105"/>
      <c r="AC368" s="105"/>
      <c r="AD368" s="105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105"/>
      <c r="AB369" s="105"/>
      <c r="AC369" s="105"/>
      <c r="AD369" s="105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105"/>
      <c r="AB370" s="105"/>
      <c r="AC370" s="105"/>
      <c r="AD370" s="105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105"/>
      <c r="AB371" s="105"/>
      <c r="AC371" s="105"/>
      <c r="AD371" s="105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105"/>
      <c r="AB372" s="105"/>
      <c r="AC372" s="105"/>
      <c r="AD372" s="105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105"/>
      <c r="AB373" s="105"/>
      <c r="AC373" s="105"/>
      <c r="AD373" s="105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105"/>
      <c r="AB374" s="105"/>
      <c r="AC374" s="105"/>
      <c r="AD374" s="105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105"/>
      <c r="AB375" s="105"/>
      <c r="AC375" s="105"/>
      <c r="AD375" s="105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105"/>
      <c r="AB376" s="105"/>
      <c r="AC376" s="105"/>
      <c r="AD376" s="105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105"/>
      <c r="AB377" s="105"/>
      <c r="AC377" s="105"/>
      <c r="AD377" s="105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105"/>
      <c r="AB378" s="105"/>
      <c r="AC378" s="105"/>
      <c r="AD378" s="105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105"/>
      <c r="AB379" s="105"/>
      <c r="AC379" s="105"/>
      <c r="AD379" s="105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105"/>
      <c r="AB380" s="105"/>
      <c r="AC380" s="105"/>
      <c r="AD380" s="105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105"/>
      <c r="AB381" s="105"/>
      <c r="AC381" s="105"/>
      <c r="AD381" s="105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105"/>
      <c r="AB382" s="105"/>
      <c r="AC382" s="105"/>
      <c r="AD382" s="105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105"/>
      <c r="AB383" s="105"/>
      <c r="AC383" s="105"/>
      <c r="AD383" s="105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105"/>
      <c r="AB384" s="105"/>
      <c r="AC384" s="105"/>
      <c r="AD384" s="105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105"/>
      <c r="AB385" s="105"/>
      <c r="AC385" s="105"/>
      <c r="AD385" s="105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105"/>
      <c r="AB386" s="105"/>
      <c r="AC386" s="105"/>
      <c r="AD386" s="105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105"/>
      <c r="AB387" s="105"/>
      <c r="AC387" s="105"/>
      <c r="AD387" s="105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105"/>
      <c r="AB388" s="105"/>
      <c r="AC388" s="105"/>
      <c r="AD388" s="105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105"/>
      <c r="AB389" s="105"/>
      <c r="AC389" s="105"/>
      <c r="AD389" s="105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105"/>
      <c r="AB390" s="105"/>
      <c r="AC390" s="105"/>
      <c r="AD390" s="105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105"/>
      <c r="AB391" s="105"/>
      <c r="AC391" s="105"/>
      <c r="AD391" s="105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105"/>
      <c r="AB392" s="105"/>
      <c r="AC392" s="105"/>
      <c r="AD392" s="105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105"/>
      <c r="AB393" s="105"/>
      <c r="AC393" s="105"/>
      <c r="AD393" s="105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105"/>
      <c r="AB394" s="105"/>
      <c r="AC394" s="105"/>
      <c r="AD394" s="105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105"/>
      <c r="AB395" s="105"/>
      <c r="AC395" s="105"/>
      <c r="AD395" s="105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105"/>
      <c r="AB396" s="105"/>
      <c r="AC396" s="105"/>
      <c r="AD396" s="105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105"/>
      <c r="AB397" s="105"/>
      <c r="AC397" s="105"/>
      <c r="AD397" s="105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105"/>
      <c r="AB398" s="105"/>
      <c r="AC398" s="105"/>
      <c r="AD398" s="105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105"/>
      <c r="AB399" s="105"/>
      <c r="AC399" s="105"/>
      <c r="AD399" s="105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105"/>
      <c r="AB400" s="105"/>
      <c r="AC400" s="105"/>
      <c r="AD400" s="105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105"/>
      <c r="AB401" s="105"/>
      <c r="AC401" s="105"/>
      <c r="AD401" s="105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105"/>
      <c r="AB402" s="105"/>
      <c r="AC402" s="105"/>
      <c r="AD402" s="105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105"/>
      <c r="AB403" s="105"/>
      <c r="AC403" s="105"/>
      <c r="AD403" s="105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105"/>
      <c r="AB404" s="105"/>
      <c r="AC404" s="105"/>
      <c r="AD404" s="105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105"/>
      <c r="AB405" s="105"/>
      <c r="AC405" s="105"/>
      <c r="AD405" s="105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105"/>
      <c r="AB406" s="105"/>
      <c r="AC406" s="105"/>
      <c r="AD406" s="105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105"/>
      <c r="AB407" s="105"/>
      <c r="AC407" s="105"/>
      <c r="AD407" s="105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105"/>
      <c r="AB408" s="105"/>
      <c r="AC408" s="105"/>
      <c r="AD408" s="105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105"/>
      <c r="AB409" s="105"/>
      <c r="AC409" s="105"/>
      <c r="AD409" s="105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105"/>
      <c r="AB410" s="105"/>
      <c r="AC410" s="105"/>
      <c r="AD410" s="105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105"/>
      <c r="AB411" s="105"/>
      <c r="AC411" s="105"/>
      <c r="AD411" s="105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105"/>
      <c r="AB412" s="105"/>
      <c r="AC412" s="105"/>
      <c r="AD412" s="105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105"/>
      <c r="AB413" s="105"/>
      <c r="AC413" s="105"/>
      <c r="AD413" s="105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105"/>
      <c r="AB414" s="105"/>
      <c r="AC414" s="105"/>
      <c r="AD414" s="105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105"/>
      <c r="AB415" s="105"/>
      <c r="AC415" s="105"/>
      <c r="AD415" s="105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105"/>
      <c r="AB416" s="105"/>
      <c r="AC416" s="105"/>
      <c r="AD416" s="105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105"/>
      <c r="AB417" s="105"/>
      <c r="AC417" s="105"/>
      <c r="AD417" s="105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105"/>
      <c r="AB418" s="105"/>
      <c r="AC418" s="105"/>
      <c r="AD418" s="105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105"/>
      <c r="AB419" s="105"/>
      <c r="AC419" s="105"/>
      <c r="AD419" s="105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105"/>
      <c r="AB420" s="105"/>
      <c r="AC420" s="105"/>
      <c r="AD420" s="105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105"/>
      <c r="AB421" s="105"/>
      <c r="AC421" s="105"/>
      <c r="AD421" s="105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105"/>
      <c r="AB422" s="105"/>
      <c r="AC422" s="105"/>
      <c r="AD422" s="105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105"/>
      <c r="AB423" s="105"/>
      <c r="AC423" s="105"/>
      <c r="AD423" s="105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105"/>
      <c r="AB424" s="105"/>
      <c r="AC424" s="105"/>
      <c r="AD424" s="105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105"/>
      <c r="AB425" s="105"/>
      <c r="AC425" s="105"/>
      <c r="AD425" s="105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105"/>
      <c r="AB426" s="105"/>
      <c r="AC426" s="105"/>
      <c r="AD426" s="105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105"/>
      <c r="AB427" s="105"/>
      <c r="AC427" s="105"/>
      <c r="AD427" s="105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105"/>
      <c r="AB428" s="105"/>
      <c r="AC428" s="105"/>
      <c r="AD428" s="105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105"/>
      <c r="AB429" s="105"/>
      <c r="AC429" s="105"/>
      <c r="AD429" s="105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105"/>
      <c r="AB430" s="105"/>
      <c r="AC430" s="105"/>
      <c r="AD430" s="105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105"/>
      <c r="AB431" s="105"/>
      <c r="AC431" s="105"/>
      <c r="AD431" s="105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105"/>
      <c r="AB432" s="105"/>
      <c r="AC432" s="105"/>
      <c r="AD432" s="105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105"/>
      <c r="AB433" s="105"/>
      <c r="AC433" s="105"/>
      <c r="AD433" s="105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105"/>
      <c r="AB434" s="105"/>
      <c r="AC434" s="105"/>
      <c r="AD434" s="105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105"/>
      <c r="AB435" s="105"/>
      <c r="AC435" s="105"/>
      <c r="AD435" s="105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105"/>
      <c r="AB436" s="105"/>
      <c r="AC436" s="105"/>
      <c r="AD436" s="105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105"/>
      <c r="AB437" s="105"/>
      <c r="AC437" s="105"/>
      <c r="AD437" s="105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105"/>
      <c r="AB438" s="105"/>
      <c r="AC438" s="105"/>
      <c r="AD438" s="105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105"/>
      <c r="AB439" s="105"/>
      <c r="AC439" s="105"/>
      <c r="AD439" s="105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105"/>
      <c r="AB440" s="105"/>
      <c r="AC440" s="105"/>
      <c r="AD440" s="105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105"/>
      <c r="AB441" s="105"/>
      <c r="AC441" s="105"/>
      <c r="AD441" s="105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105"/>
      <c r="AB442" s="105"/>
      <c r="AC442" s="105"/>
      <c r="AD442" s="105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105"/>
      <c r="AB443" s="105"/>
      <c r="AC443" s="105"/>
      <c r="AD443" s="105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105"/>
      <c r="AB444" s="105"/>
      <c r="AC444" s="105"/>
      <c r="AD444" s="105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105"/>
      <c r="AB445" s="105"/>
      <c r="AC445" s="105"/>
      <c r="AD445" s="105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105"/>
      <c r="AB446" s="105"/>
      <c r="AC446" s="105"/>
      <c r="AD446" s="105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105"/>
      <c r="AB447" s="105"/>
      <c r="AC447" s="105"/>
      <c r="AD447" s="105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105"/>
      <c r="AB448" s="105"/>
      <c r="AC448" s="105"/>
      <c r="AD448" s="105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105"/>
      <c r="AB449" s="105"/>
      <c r="AC449" s="105"/>
      <c r="AD449" s="105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105"/>
      <c r="AB450" s="105"/>
      <c r="AC450" s="105"/>
      <c r="AD450" s="105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105"/>
      <c r="AB451" s="105"/>
      <c r="AC451" s="105"/>
      <c r="AD451" s="105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105"/>
      <c r="AB452" s="105"/>
      <c r="AC452" s="105"/>
      <c r="AD452" s="105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105"/>
      <c r="AB453" s="105"/>
      <c r="AC453" s="105"/>
      <c r="AD453" s="105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105"/>
      <c r="AB454" s="105"/>
      <c r="AC454" s="105"/>
      <c r="AD454" s="105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105"/>
      <c r="AB455" s="105"/>
      <c r="AC455" s="105"/>
      <c r="AD455" s="105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105"/>
      <c r="AB456" s="105"/>
      <c r="AC456" s="105"/>
      <c r="AD456" s="105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105"/>
      <c r="AB457" s="105"/>
      <c r="AC457" s="105"/>
      <c r="AD457" s="105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105"/>
      <c r="AB458" s="105"/>
      <c r="AC458" s="105"/>
      <c r="AD458" s="105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105"/>
      <c r="AB459" s="105"/>
      <c r="AC459" s="105"/>
      <c r="AD459" s="105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105"/>
      <c r="AB460" s="105"/>
      <c r="AC460" s="105"/>
      <c r="AD460" s="105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105"/>
      <c r="AB461" s="105"/>
      <c r="AC461" s="105"/>
      <c r="AD461" s="105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105"/>
      <c r="AB462" s="105"/>
      <c r="AC462" s="105"/>
      <c r="AD462" s="105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105"/>
      <c r="AB463" s="105"/>
      <c r="AC463" s="105"/>
      <c r="AD463" s="105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105"/>
      <c r="AB464" s="105"/>
      <c r="AC464" s="105"/>
      <c r="AD464" s="105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105"/>
      <c r="AB465" s="105"/>
      <c r="AC465" s="105"/>
      <c r="AD465" s="105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105"/>
      <c r="AB466" s="105"/>
      <c r="AC466" s="105"/>
      <c r="AD466" s="105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105"/>
      <c r="AB467" s="105"/>
      <c r="AC467" s="105"/>
      <c r="AD467" s="105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105"/>
      <c r="AB468" s="105"/>
      <c r="AC468" s="105"/>
      <c r="AD468" s="105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105"/>
      <c r="AB469" s="105"/>
      <c r="AC469" s="105"/>
      <c r="AD469" s="105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105"/>
      <c r="AB470" s="105"/>
      <c r="AC470" s="105"/>
      <c r="AD470" s="105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105"/>
      <c r="AB471" s="105"/>
      <c r="AC471" s="105"/>
      <c r="AD471" s="105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105"/>
      <c r="AB472" s="105"/>
      <c r="AC472" s="105"/>
      <c r="AD472" s="105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105"/>
      <c r="AB473" s="105"/>
      <c r="AC473" s="105"/>
      <c r="AD473" s="105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105"/>
      <c r="AB474" s="105"/>
      <c r="AC474" s="105"/>
      <c r="AD474" s="105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105"/>
      <c r="AB475" s="105"/>
      <c r="AC475" s="105"/>
      <c r="AD475" s="105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105"/>
      <c r="AB476" s="105"/>
      <c r="AC476" s="105"/>
      <c r="AD476" s="105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105"/>
      <c r="AB477" s="105"/>
      <c r="AC477" s="105"/>
      <c r="AD477" s="105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105"/>
      <c r="AB478" s="105"/>
      <c r="AC478" s="105"/>
      <c r="AD478" s="105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105"/>
      <c r="AB479" s="105"/>
      <c r="AC479" s="105"/>
      <c r="AD479" s="105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105"/>
      <c r="AB480" s="105"/>
      <c r="AC480" s="105"/>
      <c r="AD480" s="105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105"/>
      <c r="AB481" s="105"/>
      <c r="AC481" s="105"/>
      <c r="AD481" s="105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105"/>
      <c r="AB482" s="105"/>
      <c r="AC482" s="105"/>
      <c r="AD482" s="105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105"/>
      <c r="AB483" s="105"/>
      <c r="AC483" s="105"/>
      <c r="AD483" s="105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105"/>
      <c r="AB484" s="105"/>
      <c r="AC484" s="105"/>
      <c r="AD484" s="105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105"/>
      <c r="AB485" s="105"/>
      <c r="AC485" s="105"/>
      <c r="AD485" s="105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105"/>
      <c r="AB486" s="105"/>
      <c r="AC486" s="105"/>
      <c r="AD486" s="105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105"/>
      <c r="AB487" s="105"/>
      <c r="AC487" s="105"/>
      <c r="AD487" s="105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105"/>
      <c r="AB488" s="105"/>
      <c r="AC488" s="105"/>
      <c r="AD488" s="105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105"/>
      <c r="AB489" s="105"/>
      <c r="AC489" s="105"/>
      <c r="AD489" s="105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105"/>
      <c r="AB490" s="105"/>
      <c r="AC490" s="105"/>
      <c r="AD490" s="105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105"/>
      <c r="AB491" s="105"/>
      <c r="AC491" s="105"/>
      <c r="AD491" s="105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105"/>
      <c r="AB492" s="105"/>
      <c r="AC492" s="105"/>
      <c r="AD492" s="105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105"/>
      <c r="AB493" s="105"/>
      <c r="AC493" s="105"/>
      <c r="AD493" s="105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105"/>
      <c r="AB494" s="105"/>
      <c r="AC494" s="105"/>
      <c r="AD494" s="105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105"/>
      <c r="AB495" s="105"/>
      <c r="AC495" s="105"/>
      <c r="AD495" s="105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105"/>
      <c r="AB496" s="105"/>
      <c r="AC496" s="105"/>
      <c r="AD496" s="105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105"/>
      <c r="AB497" s="105"/>
      <c r="AC497" s="105"/>
      <c r="AD497" s="105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105"/>
      <c r="AB498" s="105"/>
      <c r="AC498" s="105"/>
      <c r="AD498" s="105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105"/>
      <c r="AB499" s="105"/>
      <c r="AC499" s="105"/>
      <c r="AD499" s="105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105"/>
      <c r="AB500" s="105"/>
      <c r="AC500" s="105"/>
      <c r="AD500" s="105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105"/>
      <c r="AB501" s="105"/>
      <c r="AC501" s="105"/>
      <c r="AD501" s="105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105"/>
      <c r="AB502" s="105"/>
      <c r="AC502" s="105"/>
      <c r="AD502" s="105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105"/>
      <c r="AB503" s="105"/>
      <c r="AC503" s="105"/>
      <c r="AD503" s="105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105"/>
      <c r="AB504" s="105"/>
      <c r="AC504" s="105"/>
      <c r="AD504" s="105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105"/>
      <c r="AB505" s="105"/>
      <c r="AC505" s="105"/>
      <c r="AD505" s="105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105"/>
      <c r="AB506" s="105"/>
      <c r="AC506" s="105"/>
      <c r="AD506" s="105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105"/>
      <c r="AB507" s="105"/>
      <c r="AC507" s="105"/>
      <c r="AD507" s="105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105"/>
      <c r="AB508" s="105"/>
      <c r="AC508" s="105"/>
      <c r="AD508" s="105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105"/>
      <c r="AB509" s="105"/>
      <c r="AC509" s="105"/>
      <c r="AD509" s="105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105"/>
      <c r="AB510" s="105"/>
      <c r="AC510" s="105"/>
      <c r="AD510" s="105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105"/>
      <c r="AB511" s="105"/>
      <c r="AC511" s="105"/>
      <c r="AD511" s="105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105"/>
      <c r="AB512" s="105"/>
      <c r="AC512" s="105"/>
      <c r="AD512" s="105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105"/>
      <c r="AB513" s="105"/>
      <c r="AC513" s="105"/>
      <c r="AD513" s="105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105"/>
      <c r="AB514" s="105"/>
      <c r="AC514" s="105"/>
      <c r="AD514" s="105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105"/>
      <c r="AB515" s="105"/>
      <c r="AC515" s="105"/>
      <c r="AD515" s="105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105"/>
      <c r="AB516" s="105"/>
      <c r="AC516" s="105"/>
      <c r="AD516" s="105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105"/>
      <c r="AB517" s="105"/>
      <c r="AC517" s="105"/>
      <c r="AD517" s="105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105"/>
      <c r="AB518" s="105"/>
      <c r="AC518" s="105"/>
      <c r="AD518" s="105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105"/>
      <c r="AB519" s="105"/>
      <c r="AC519" s="105"/>
      <c r="AD519" s="105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105"/>
      <c r="AB520" s="105"/>
      <c r="AC520" s="105"/>
      <c r="AD520" s="105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105"/>
      <c r="AB521" s="105"/>
      <c r="AC521" s="105"/>
      <c r="AD521" s="105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105"/>
      <c r="AB522" s="105"/>
      <c r="AC522" s="105"/>
      <c r="AD522" s="105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105"/>
      <c r="AB523" s="105"/>
      <c r="AC523" s="105"/>
      <c r="AD523" s="105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105"/>
      <c r="AB524" s="105"/>
      <c r="AC524" s="105"/>
      <c r="AD524" s="105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105"/>
      <c r="AB525" s="105"/>
      <c r="AC525" s="105"/>
      <c r="AD525" s="105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105"/>
      <c r="AB526" s="105"/>
      <c r="AC526" s="105"/>
      <c r="AD526" s="105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105"/>
      <c r="AB527" s="105"/>
      <c r="AC527" s="105"/>
      <c r="AD527" s="105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105"/>
      <c r="AB528" s="105"/>
      <c r="AC528" s="105"/>
      <c r="AD528" s="105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105"/>
      <c r="AB529" s="105"/>
      <c r="AC529" s="105"/>
      <c r="AD529" s="105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105"/>
      <c r="AB530" s="105"/>
      <c r="AC530" s="105"/>
      <c r="AD530" s="105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105"/>
      <c r="AB531" s="105"/>
      <c r="AC531" s="105"/>
      <c r="AD531" s="105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105"/>
      <c r="AB532" s="105"/>
      <c r="AC532" s="105"/>
      <c r="AD532" s="105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105"/>
      <c r="AB533" s="105"/>
      <c r="AC533" s="105"/>
      <c r="AD533" s="105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105"/>
      <c r="AB534" s="105"/>
      <c r="AC534" s="105"/>
      <c r="AD534" s="105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105"/>
      <c r="AB535" s="105"/>
      <c r="AC535" s="105"/>
      <c r="AD535" s="105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105"/>
      <c r="AB536" s="105"/>
      <c r="AC536" s="105"/>
      <c r="AD536" s="105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105"/>
      <c r="AB537" s="105"/>
      <c r="AC537" s="105"/>
      <c r="AD537" s="105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105"/>
      <c r="AB538" s="105"/>
      <c r="AC538" s="105"/>
      <c r="AD538" s="105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105"/>
      <c r="AB539" s="105"/>
      <c r="AC539" s="105"/>
      <c r="AD539" s="105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105"/>
      <c r="AB540" s="105"/>
      <c r="AC540" s="105"/>
      <c r="AD540" s="105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105"/>
      <c r="AB541" s="105"/>
      <c r="AC541" s="105"/>
      <c r="AD541" s="105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105"/>
      <c r="AB542" s="105"/>
      <c r="AC542" s="105"/>
      <c r="AD542" s="105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105"/>
      <c r="AB543" s="105"/>
      <c r="AC543" s="105"/>
      <c r="AD543" s="105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105"/>
      <c r="AB544" s="105"/>
      <c r="AC544" s="105"/>
      <c r="AD544" s="105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105"/>
      <c r="AB545" s="105"/>
      <c r="AC545" s="105"/>
      <c r="AD545" s="105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105"/>
      <c r="AB546" s="105"/>
      <c r="AC546" s="105"/>
      <c r="AD546" s="105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105"/>
      <c r="AB547" s="105"/>
      <c r="AC547" s="105"/>
      <c r="AD547" s="105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105"/>
      <c r="AB548" s="105"/>
      <c r="AC548" s="105"/>
      <c r="AD548" s="105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105"/>
      <c r="AB549" s="105"/>
      <c r="AC549" s="105"/>
      <c r="AD549" s="105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105"/>
      <c r="AB550" s="105"/>
      <c r="AC550" s="105"/>
      <c r="AD550" s="105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105"/>
      <c r="AB551" s="105"/>
      <c r="AC551" s="105"/>
      <c r="AD551" s="105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105"/>
      <c r="AB552" s="105"/>
      <c r="AC552" s="105"/>
      <c r="AD552" s="105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105"/>
      <c r="AB553" s="105"/>
      <c r="AC553" s="105"/>
      <c r="AD553" s="105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105"/>
      <c r="AB554" s="105"/>
      <c r="AC554" s="105"/>
      <c r="AD554" s="105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105"/>
      <c r="AB555" s="105"/>
      <c r="AC555" s="105"/>
      <c r="AD555" s="105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105"/>
      <c r="AB556" s="105"/>
      <c r="AC556" s="105"/>
      <c r="AD556" s="105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105"/>
      <c r="AB557" s="105"/>
      <c r="AC557" s="105"/>
      <c r="AD557" s="105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105"/>
      <c r="AB558" s="105"/>
      <c r="AC558" s="105"/>
      <c r="AD558" s="105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105"/>
      <c r="AB559" s="105"/>
      <c r="AC559" s="105"/>
      <c r="AD559" s="105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105"/>
      <c r="AB560" s="105"/>
      <c r="AC560" s="105"/>
      <c r="AD560" s="105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105"/>
      <c r="AB561" s="105"/>
      <c r="AC561" s="105"/>
      <c r="AD561" s="105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105"/>
      <c r="AB562" s="105"/>
      <c r="AC562" s="105"/>
      <c r="AD562" s="105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105"/>
      <c r="AB563" s="105"/>
      <c r="AC563" s="105"/>
      <c r="AD563" s="105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105"/>
      <c r="AB564" s="105"/>
      <c r="AC564" s="105"/>
      <c r="AD564" s="105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105"/>
      <c r="AB565" s="105"/>
      <c r="AC565" s="105"/>
      <c r="AD565" s="105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105"/>
      <c r="AB566" s="105"/>
      <c r="AC566" s="105"/>
      <c r="AD566" s="105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105"/>
      <c r="AB567" s="105"/>
      <c r="AC567" s="105"/>
      <c r="AD567" s="105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105"/>
      <c r="AB568" s="105"/>
      <c r="AC568" s="105"/>
      <c r="AD568" s="105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105"/>
      <c r="AB569" s="105"/>
      <c r="AC569" s="105"/>
      <c r="AD569" s="105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105"/>
      <c r="AB570" s="105"/>
      <c r="AC570" s="105"/>
      <c r="AD570" s="105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105"/>
      <c r="AB571" s="105"/>
      <c r="AC571" s="105"/>
      <c r="AD571" s="105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105"/>
      <c r="AB572" s="105"/>
      <c r="AC572" s="105"/>
      <c r="AD572" s="105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105"/>
      <c r="AB573" s="105"/>
      <c r="AC573" s="105"/>
      <c r="AD573" s="105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105"/>
      <c r="AB574" s="105"/>
      <c r="AC574" s="105"/>
      <c r="AD574" s="105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105"/>
      <c r="AB575" s="105"/>
      <c r="AC575" s="105"/>
      <c r="AD575" s="105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105"/>
      <c r="AB576" s="105"/>
      <c r="AC576" s="105"/>
      <c r="AD576" s="105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105"/>
      <c r="AB577" s="105"/>
      <c r="AC577" s="105"/>
      <c r="AD577" s="105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105"/>
      <c r="AB578" s="105"/>
      <c r="AC578" s="105"/>
      <c r="AD578" s="105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105"/>
      <c r="AB579" s="105"/>
      <c r="AC579" s="105"/>
      <c r="AD579" s="105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105"/>
      <c r="AB580" s="105"/>
      <c r="AC580" s="105"/>
      <c r="AD580" s="105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105"/>
      <c r="AB581" s="105"/>
      <c r="AC581" s="105"/>
      <c r="AD581" s="105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105"/>
      <c r="AB582" s="105"/>
      <c r="AC582" s="105"/>
      <c r="AD582" s="105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105"/>
      <c r="AB583" s="105"/>
      <c r="AC583" s="105"/>
      <c r="AD583" s="105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105"/>
      <c r="AB584" s="105"/>
      <c r="AC584" s="105"/>
      <c r="AD584" s="105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105"/>
      <c r="AB585" s="105"/>
      <c r="AC585" s="105"/>
      <c r="AD585" s="105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105"/>
      <c r="AB586" s="105"/>
      <c r="AC586" s="105"/>
      <c r="AD586" s="105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105"/>
      <c r="AB587" s="105"/>
      <c r="AC587" s="105"/>
      <c r="AD587" s="105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105"/>
      <c r="AB588" s="105"/>
      <c r="AC588" s="105"/>
      <c r="AD588" s="105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105"/>
      <c r="AB589" s="105"/>
      <c r="AC589" s="105"/>
      <c r="AD589" s="105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105"/>
      <c r="AB590" s="105"/>
      <c r="AC590" s="105"/>
      <c r="AD590" s="105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105"/>
      <c r="AB591" s="105"/>
      <c r="AC591" s="105"/>
      <c r="AD591" s="105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105"/>
      <c r="AB592" s="105"/>
      <c r="AC592" s="105"/>
      <c r="AD592" s="105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105"/>
      <c r="AB593" s="105"/>
      <c r="AC593" s="105"/>
      <c r="AD593" s="105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105"/>
      <c r="AB594" s="105"/>
      <c r="AC594" s="105"/>
      <c r="AD594" s="105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105"/>
      <c r="AB595" s="105"/>
      <c r="AC595" s="105"/>
      <c r="AD595" s="105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105"/>
      <c r="AB596" s="105"/>
      <c r="AC596" s="105"/>
      <c r="AD596" s="105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105"/>
      <c r="AB597" s="105"/>
      <c r="AC597" s="105"/>
      <c r="AD597" s="105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105"/>
      <c r="AB598" s="105"/>
      <c r="AC598" s="105"/>
      <c r="AD598" s="105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105"/>
      <c r="AB599" s="105"/>
      <c r="AC599" s="105"/>
      <c r="AD599" s="105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105"/>
      <c r="AB600" s="105"/>
      <c r="AC600" s="105"/>
      <c r="AD600" s="105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105"/>
      <c r="AB601" s="105"/>
      <c r="AC601" s="105"/>
      <c r="AD601" s="105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105"/>
      <c r="AB602" s="105"/>
      <c r="AC602" s="105"/>
      <c r="AD602" s="105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105"/>
      <c r="AB603" s="105"/>
      <c r="AC603" s="105"/>
      <c r="AD603" s="105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105"/>
      <c r="AB604" s="105"/>
      <c r="AC604" s="105"/>
      <c r="AD604" s="105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105"/>
      <c r="AB605" s="105"/>
      <c r="AC605" s="105"/>
      <c r="AD605" s="105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105"/>
      <c r="AB606" s="105"/>
      <c r="AC606" s="105"/>
      <c r="AD606" s="105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105"/>
      <c r="AB607" s="105"/>
      <c r="AC607" s="105"/>
      <c r="AD607" s="105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105"/>
      <c r="AB608" s="105"/>
      <c r="AC608" s="105"/>
      <c r="AD608" s="105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105"/>
      <c r="AB609" s="105"/>
      <c r="AC609" s="105"/>
      <c r="AD609" s="105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105"/>
      <c r="AB610" s="105"/>
      <c r="AC610" s="105"/>
      <c r="AD610" s="105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105"/>
      <c r="AB611" s="105"/>
      <c r="AC611" s="105"/>
      <c r="AD611" s="105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105"/>
      <c r="AB612" s="105"/>
      <c r="AC612" s="105"/>
      <c r="AD612" s="105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105"/>
      <c r="AB613" s="105"/>
      <c r="AC613" s="105"/>
      <c r="AD613" s="105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105"/>
      <c r="AB614" s="105"/>
      <c r="AC614" s="105"/>
      <c r="AD614" s="105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105"/>
      <c r="AB615" s="105"/>
      <c r="AC615" s="105"/>
      <c r="AD615" s="105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105"/>
      <c r="AB616" s="105"/>
      <c r="AC616" s="105"/>
      <c r="AD616" s="105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105"/>
      <c r="AB617" s="105"/>
      <c r="AC617" s="105"/>
      <c r="AD617" s="105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105"/>
      <c r="AB618" s="105"/>
      <c r="AC618" s="105"/>
      <c r="AD618" s="105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105"/>
      <c r="AB619" s="105"/>
      <c r="AC619" s="105"/>
      <c r="AD619" s="105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105"/>
      <c r="AB620" s="105"/>
      <c r="AC620" s="105"/>
      <c r="AD620" s="105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105"/>
      <c r="AB621" s="105"/>
      <c r="AC621" s="105"/>
      <c r="AD621" s="105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105"/>
      <c r="AB622" s="105"/>
      <c r="AC622" s="105"/>
      <c r="AD622" s="105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105"/>
      <c r="AB623" s="105"/>
      <c r="AC623" s="105"/>
      <c r="AD623" s="105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105"/>
      <c r="AB624" s="105"/>
      <c r="AC624" s="105"/>
      <c r="AD624" s="105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105"/>
      <c r="AB625" s="105"/>
      <c r="AC625" s="105"/>
      <c r="AD625" s="105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105"/>
      <c r="AB626" s="105"/>
      <c r="AC626" s="105"/>
      <c r="AD626" s="105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105"/>
      <c r="AB627" s="105"/>
      <c r="AC627" s="105"/>
      <c r="AD627" s="105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105"/>
      <c r="AB628" s="105"/>
      <c r="AC628" s="105"/>
      <c r="AD628" s="105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105"/>
      <c r="AB629" s="105"/>
      <c r="AC629" s="105"/>
      <c r="AD629" s="105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105"/>
      <c r="AB630" s="105"/>
      <c r="AC630" s="105"/>
      <c r="AD630" s="105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105"/>
      <c r="AB631" s="105"/>
      <c r="AC631" s="105"/>
      <c r="AD631" s="105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105"/>
      <c r="AB632" s="105"/>
      <c r="AC632" s="105"/>
      <c r="AD632" s="105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105"/>
      <c r="AB633" s="105"/>
      <c r="AC633" s="105"/>
      <c r="AD633" s="105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105"/>
      <c r="AB634" s="105"/>
      <c r="AC634" s="105"/>
      <c r="AD634" s="105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105"/>
      <c r="AB635" s="105"/>
      <c r="AC635" s="105"/>
      <c r="AD635" s="105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105"/>
      <c r="AB636" s="105"/>
      <c r="AC636" s="105"/>
      <c r="AD636" s="105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105"/>
      <c r="AB637" s="105"/>
      <c r="AC637" s="105"/>
      <c r="AD637" s="105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105"/>
      <c r="AB638" s="105"/>
      <c r="AC638" s="105"/>
      <c r="AD638" s="105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105"/>
      <c r="AB639" s="105"/>
      <c r="AC639" s="105"/>
      <c r="AD639" s="105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105"/>
      <c r="AB640" s="105"/>
      <c r="AC640" s="105"/>
      <c r="AD640" s="105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105"/>
      <c r="AB641" s="105"/>
      <c r="AC641" s="105"/>
      <c r="AD641" s="105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105"/>
      <c r="AB642" s="105"/>
      <c r="AC642" s="105"/>
      <c r="AD642" s="105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105"/>
      <c r="AB643" s="105"/>
      <c r="AC643" s="105"/>
      <c r="AD643" s="105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105"/>
      <c r="AB644" s="105"/>
      <c r="AC644" s="105"/>
      <c r="AD644" s="105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105"/>
      <c r="AB645" s="105"/>
      <c r="AC645" s="105"/>
      <c r="AD645" s="105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105"/>
      <c r="AB646" s="105"/>
      <c r="AC646" s="105"/>
      <c r="AD646" s="105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105"/>
      <c r="AB647" s="105"/>
      <c r="AC647" s="105"/>
      <c r="AD647" s="105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105"/>
      <c r="AB648" s="105"/>
      <c r="AC648" s="105"/>
      <c r="AD648" s="105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105"/>
      <c r="AB649" s="105"/>
      <c r="AC649" s="105"/>
      <c r="AD649" s="105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105"/>
      <c r="AB650" s="105"/>
      <c r="AC650" s="105"/>
      <c r="AD650" s="105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105"/>
      <c r="AB651" s="105"/>
      <c r="AC651" s="105"/>
      <c r="AD651" s="105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105"/>
      <c r="AB652" s="105"/>
      <c r="AC652" s="105"/>
      <c r="AD652" s="105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105"/>
      <c r="AB653" s="105"/>
      <c r="AC653" s="105"/>
      <c r="AD653" s="105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105"/>
      <c r="AB654" s="105"/>
      <c r="AC654" s="105"/>
      <c r="AD654" s="105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105"/>
      <c r="AB655" s="105"/>
      <c r="AC655" s="105"/>
      <c r="AD655" s="105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105"/>
      <c r="AB656" s="105"/>
      <c r="AC656" s="105"/>
      <c r="AD656" s="105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105"/>
      <c r="AB657" s="105"/>
      <c r="AC657" s="105"/>
      <c r="AD657" s="105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105"/>
      <c r="AB658" s="105"/>
      <c r="AC658" s="105"/>
      <c r="AD658" s="105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105"/>
      <c r="AB659" s="105"/>
      <c r="AC659" s="105"/>
      <c r="AD659" s="105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105"/>
      <c r="AB660" s="105"/>
      <c r="AC660" s="105"/>
      <c r="AD660" s="105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105"/>
      <c r="AB661" s="105"/>
      <c r="AC661" s="105"/>
      <c r="AD661" s="105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105"/>
      <c r="AB662" s="105"/>
      <c r="AC662" s="105"/>
      <c r="AD662" s="105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105"/>
      <c r="AB663" s="105"/>
      <c r="AC663" s="105"/>
      <c r="AD663" s="105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105"/>
      <c r="AB664" s="105"/>
      <c r="AC664" s="105"/>
      <c r="AD664" s="105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105"/>
      <c r="AB665" s="105"/>
      <c r="AC665" s="105"/>
      <c r="AD665" s="105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105"/>
      <c r="AB666" s="105"/>
      <c r="AC666" s="105"/>
      <c r="AD666" s="105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105"/>
      <c r="AB667" s="105"/>
      <c r="AC667" s="105"/>
      <c r="AD667" s="105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105"/>
      <c r="AB668" s="105"/>
      <c r="AC668" s="105"/>
      <c r="AD668" s="105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105"/>
      <c r="AB669" s="105"/>
      <c r="AC669" s="105"/>
      <c r="AD669" s="105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105"/>
      <c r="AB670" s="105"/>
      <c r="AC670" s="105"/>
      <c r="AD670" s="105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105"/>
      <c r="AB671" s="105"/>
      <c r="AC671" s="105"/>
      <c r="AD671" s="105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105"/>
      <c r="AB672" s="105"/>
      <c r="AC672" s="105"/>
      <c r="AD672" s="105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105"/>
      <c r="AB673" s="105"/>
      <c r="AC673" s="105"/>
      <c r="AD673" s="105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105"/>
      <c r="AB674" s="105"/>
      <c r="AC674" s="105"/>
      <c r="AD674" s="105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105"/>
      <c r="AB675" s="105"/>
      <c r="AC675" s="105"/>
      <c r="AD675" s="105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105"/>
      <c r="AB676" s="105"/>
      <c r="AC676" s="105"/>
      <c r="AD676" s="105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105"/>
      <c r="AB677" s="105"/>
      <c r="AC677" s="105"/>
      <c r="AD677" s="105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105"/>
      <c r="AB678" s="105"/>
      <c r="AC678" s="105"/>
      <c r="AD678" s="105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105"/>
      <c r="AB679" s="105"/>
      <c r="AC679" s="105"/>
      <c r="AD679" s="105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105"/>
      <c r="AB680" s="105"/>
      <c r="AC680" s="105"/>
      <c r="AD680" s="105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105"/>
      <c r="AB681" s="105"/>
      <c r="AC681" s="105"/>
      <c r="AD681" s="105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105"/>
      <c r="AB682" s="105"/>
      <c r="AC682" s="105"/>
      <c r="AD682" s="105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105"/>
      <c r="AB683" s="105"/>
      <c r="AC683" s="105"/>
      <c r="AD683" s="105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105"/>
      <c r="AB684" s="105"/>
      <c r="AC684" s="105"/>
      <c r="AD684" s="105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105"/>
      <c r="AB685" s="105"/>
      <c r="AC685" s="105"/>
      <c r="AD685" s="105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105"/>
      <c r="AB686" s="105"/>
      <c r="AC686" s="105"/>
      <c r="AD686" s="105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105"/>
      <c r="AB687" s="105"/>
      <c r="AC687" s="105"/>
      <c r="AD687" s="105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105"/>
      <c r="AB688" s="105"/>
      <c r="AC688" s="105"/>
      <c r="AD688" s="105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105"/>
      <c r="AB689" s="105"/>
      <c r="AC689" s="105"/>
      <c r="AD689" s="105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105"/>
      <c r="AB690" s="105"/>
      <c r="AC690" s="105"/>
      <c r="AD690" s="105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105"/>
      <c r="AB691" s="105"/>
      <c r="AC691" s="105"/>
      <c r="AD691" s="105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105"/>
      <c r="AB692" s="105"/>
      <c r="AC692" s="105"/>
      <c r="AD692" s="105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105"/>
      <c r="AB693" s="105"/>
      <c r="AC693" s="105"/>
      <c r="AD693" s="105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105"/>
      <c r="AB694" s="105"/>
      <c r="AC694" s="105"/>
      <c r="AD694" s="105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105"/>
      <c r="AB695" s="105"/>
      <c r="AC695" s="105"/>
      <c r="AD695" s="105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105"/>
      <c r="AB696" s="105"/>
      <c r="AC696" s="105"/>
      <c r="AD696" s="105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105"/>
      <c r="AB697" s="105"/>
      <c r="AC697" s="105"/>
      <c r="AD697" s="105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105"/>
      <c r="AB698" s="105"/>
      <c r="AC698" s="105"/>
      <c r="AD698" s="105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105"/>
      <c r="AB699" s="105"/>
      <c r="AC699" s="105"/>
      <c r="AD699" s="105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105"/>
      <c r="AB700" s="105"/>
      <c r="AC700" s="105"/>
      <c r="AD700" s="105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105"/>
      <c r="AB701" s="105"/>
      <c r="AC701" s="105"/>
      <c r="AD701" s="105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105"/>
      <c r="AB702" s="105"/>
      <c r="AC702" s="105"/>
      <c r="AD702" s="105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105"/>
      <c r="AB703" s="105"/>
      <c r="AC703" s="105"/>
      <c r="AD703" s="105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105"/>
      <c r="AB704" s="105"/>
      <c r="AC704" s="105"/>
      <c r="AD704" s="105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105"/>
      <c r="AB705" s="105"/>
      <c r="AC705" s="105"/>
      <c r="AD705" s="105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105"/>
      <c r="AB706" s="105"/>
      <c r="AC706" s="105"/>
      <c r="AD706" s="105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105"/>
      <c r="AB707" s="105"/>
      <c r="AC707" s="105"/>
      <c r="AD707" s="105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105"/>
      <c r="AB708" s="105"/>
      <c r="AC708" s="105"/>
      <c r="AD708" s="105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105"/>
      <c r="AB709" s="105"/>
      <c r="AC709" s="105"/>
      <c r="AD709" s="105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105"/>
      <c r="AB710" s="105"/>
      <c r="AC710" s="105"/>
      <c r="AD710" s="105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105"/>
      <c r="AB711" s="105"/>
      <c r="AC711" s="105"/>
      <c r="AD711" s="105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105"/>
      <c r="AB712" s="105"/>
      <c r="AC712" s="105"/>
      <c r="AD712" s="105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105"/>
      <c r="AB713" s="105"/>
      <c r="AC713" s="105"/>
      <c r="AD713" s="105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105"/>
      <c r="AB714" s="105"/>
      <c r="AC714" s="105"/>
      <c r="AD714" s="105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105"/>
      <c r="AB715" s="105"/>
      <c r="AC715" s="105"/>
      <c r="AD715" s="105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105"/>
      <c r="AB716" s="105"/>
      <c r="AC716" s="105"/>
      <c r="AD716" s="105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105"/>
      <c r="AB717" s="105"/>
      <c r="AC717" s="105"/>
      <c r="AD717" s="105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105"/>
      <c r="AB718" s="105"/>
      <c r="AC718" s="105"/>
      <c r="AD718" s="105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105"/>
      <c r="AB719" s="105"/>
      <c r="AC719" s="105"/>
      <c r="AD719" s="105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105"/>
      <c r="AB720" s="105"/>
      <c r="AC720" s="105"/>
      <c r="AD720" s="105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105"/>
      <c r="AB721" s="105"/>
      <c r="AC721" s="105"/>
      <c r="AD721" s="105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105"/>
      <c r="AB722" s="105"/>
      <c r="AC722" s="105"/>
      <c r="AD722" s="105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105"/>
      <c r="AB723" s="105"/>
      <c r="AC723" s="105"/>
      <c r="AD723" s="105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105"/>
      <c r="AB724" s="105"/>
      <c r="AC724" s="105"/>
      <c r="AD724" s="105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105"/>
      <c r="AB725" s="105"/>
      <c r="AC725" s="105"/>
      <c r="AD725" s="105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105"/>
      <c r="AB726" s="105"/>
      <c r="AC726" s="105"/>
      <c r="AD726" s="105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105"/>
      <c r="AB727" s="105"/>
      <c r="AC727" s="105"/>
      <c r="AD727" s="105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105"/>
      <c r="AB728" s="105"/>
      <c r="AC728" s="105"/>
      <c r="AD728" s="105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105"/>
      <c r="AB729" s="105"/>
      <c r="AC729" s="105"/>
      <c r="AD729" s="105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105"/>
      <c r="AB730" s="105"/>
      <c r="AC730" s="105"/>
      <c r="AD730" s="105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105"/>
      <c r="AB731" s="105"/>
      <c r="AC731" s="105"/>
      <c r="AD731" s="105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105"/>
      <c r="AB732" s="105"/>
      <c r="AC732" s="105"/>
      <c r="AD732" s="105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105"/>
      <c r="AB733" s="105"/>
      <c r="AC733" s="105"/>
      <c r="AD733" s="105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105"/>
      <c r="AB734" s="105"/>
      <c r="AC734" s="105"/>
      <c r="AD734" s="105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105"/>
      <c r="AB735" s="105"/>
      <c r="AC735" s="105"/>
      <c r="AD735" s="105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105"/>
      <c r="AB736" s="105"/>
      <c r="AC736" s="105"/>
      <c r="AD736" s="105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105"/>
      <c r="AB737" s="105"/>
      <c r="AC737" s="105"/>
      <c r="AD737" s="105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105"/>
      <c r="AB738" s="105"/>
      <c r="AC738" s="105"/>
      <c r="AD738" s="105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105"/>
      <c r="AB739" s="105"/>
      <c r="AC739" s="105"/>
      <c r="AD739" s="105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105"/>
      <c r="AB740" s="105"/>
      <c r="AC740" s="105"/>
      <c r="AD740" s="105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105"/>
      <c r="AB741" s="105"/>
      <c r="AC741" s="105"/>
      <c r="AD741" s="105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105"/>
      <c r="AB742" s="105"/>
      <c r="AC742" s="105"/>
      <c r="AD742" s="105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105"/>
      <c r="AB743" s="105"/>
      <c r="AC743" s="105"/>
      <c r="AD743" s="105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105"/>
      <c r="AB744" s="105"/>
      <c r="AC744" s="105"/>
      <c r="AD744" s="105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105"/>
      <c r="AB745" s="105"/>
      <c r="AC745" s="105"/>
      <c r="AD745" s="105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105"/>
      <c r="AB746" s="105"/>
      <c r="AC746" s="105"/>
      <c r="AD746" s="105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105"/>
      <c r="AB747" s="105"/>
      <c r="AC747" s="105"/>
      <c r="AD747" s="105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105"/>
      <c r="AB748" s="105"/>
      <c r="AC748" s="105"/>
      <c r="AD748" s="105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105"/>
      <c r="AB749" s="105"/>
      <c r="AC749" s="105"/>
      <c r="AD749" s="105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105"/>
      <c r="AB750" s="105"/>
      <c r="AC750" s="105"/>
      <c r="AD750" s="105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105"/>
      <c r="AB751" s="105"/>
      <c r="AC751" s="105"/>
      <c r="AD751" s="105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105"/>
      <c r="AB752" s="105"/>
      <c r="AC752" s="105"/>
      <c r="AD752" s="105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105"/>
      <c r="AB753" s="105"/>
      <c r="AC753" s="105"/>
      <c r="AD753" s="105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105"/>
      <c r="AB754" s="105"/>
      <c r="AC754" s="105"/>
      <c r="AD754" s="105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105"/>
      <c r="AB755" s="105"/>
      <c r="AC755" s="105"/>
      <c r="AD755" s="105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105"/>
      <c r="AB756" s="105"/>
      <c r="AC756" s="105"/>
      <c r="AD756" s="105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105"/>
      <c r="AB757" s="105"/>
      <c r="AC757" s="105"/>
      <c r="AD757" s="105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105"/>
      <c r="AB758" s="105"/>
      <c r="AC758" s="105"/>
      <c r="AD758" s="105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105"/>
      <c r="AB759" s="105"/>
      <c r="AC759" s="105"/>
      <c r="AD759" s="105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105"/>
      <c r="AB760" s="105"/>
      <c r="AC760" s="105"/>
      <c r="AD760" s="105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105"/>
      <c r="AB761" s="105"/>
      <c r="AC761" s="105"/>
      <c r="AD761" s="105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105"/>
      <c r="AB762" s="105"/>
      <c r="AC762" s="105"/>
      <c r="AD762" s="105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105"/>
      <c r="AB763" s="105"/>
      <c r="AC763" s="105"/>
      <c r="AD763" s="105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105"/>
      <c r="AB764" s="105"/>
      <c r="AC764" s="105"/>
      <c r="AD764" s="105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105"/>
      <c r="AB765" s="105"/>
      <c r="AC765" s="105"/>
      <c r="AD765" s="105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105"/>
      <c r="AB766" s="105"/>
      <c r="AC766" s="105"/>
      <c r="AD766" s="105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105"/>
      <c r="AB767" s="105"/>
      <c r="AC767" s="105"/>
      <c r="AD767" s="105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105"/>
      <c r="AB768" s="105"/>
      <c r="AC768" s="105"/>
      <c r="AD768" s="105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105"/>
      <c r="AB769" s="105"/>
      <c r="AC769" s="105"/>
      <c r="AD769" s="105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105"/>
      <c r="AB770" s="105"/>
      <c r="AC770" s="105"/>
      <c r="AD770" s="105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105"/>
      <c r="AB771" s="105"/>
      <c r="AC771" s="105"/>
      <c r="AD771" s="105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105"/>
      <c r="AB772" s="105"/>
      <c r="AC772" s="105"/>
      <c r="AD772" s="105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105"/>
      <c r="AB773" s="105"/>
      <c r="AC773" s="105"/>
      <c r="AD773" s="105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105"/>
      <c r="AB774" s="105"/>
      <c r="AC774" s="105"/>
      <c r="AD774" s="105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105"/>
      <c r="AB775" s="105"/>
      <c r="AC775" s="105"/>
      <c r="AD775" s="105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105"/>
      <c r="AB776" s="105"/>
      <c r="AC776" s="105"/>
      <c r="AD776" s="105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105"/>
      <c r="AB777" s="105"/>
      <c r="AC777" s="105"/>
      <c r="AD777" s="105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105"/>
      <c r="AB778" s="105"/>
      <c r="AC778" s="105"/>
      <c r="AD778" s="105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105"/>
      <c r="AB779" s="105"/>
      <c r="AC779" s="105"/>
      <c r="AD779" s="105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105"/>
      <c r="AB780" s="105"/>
      <c r="AC780" s="105"/>
      <c r="AD780" s="105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105"/>
      <c r="AB781" s="105"/>
      <c r="AC781" s="105"/>
      <c r="AD781" s="105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105"/>
      <c r="AB782" s="105"/>
      <c r="AC782" s="105"/>
      <c r="AD782" s="105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105"/>
      <c r="AB783" s="105"/>
      <c r="AC783" s="105"/>
      <c r="AD783" s="105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105"/>
      <c r="AB784" s="105"/>
      <c r="AC784" s="105"/>
      <c r="AD784" s="105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105"/>
      <c r="AB785" s="105"/>
      <c r="AC785" s="105"/>
      <c r="AD785" s="105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105"/>
      <c r="AB786" s="105"/>
      <c r="AC786" s="105"/>
      <c r="AD786" s="105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105"/>
      <c r="AB787" s="105"/>
      <c r="AC787" s="105"/>
      <c r="AD787" s="105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105"/>
      <c r="AB788" s="105"/>
      <c r="AC788" s="105"/>
      <c r="AD788" s="105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105"/>
      <c r="AB789" s="105"/>
      <c r="AC789" s="105"/>
      <c r="AD789" s="105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105"/>
      <c r="AB790" s="105"/>
      <c r="AC790" s="105"/>
      <c r="AD790" s="105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105"/>
      <c r="AB791" s="105"/>
      <c r="AC791" s="105"/>
      <c r="AD791" s="105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105"/>
      <c r="AB792" s="105"/>
      <c r="AC792" s="105"/>
      <c r="AD792" s="105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105"/>
      <c r="AB793" s="105"/>
      <c r="AC793" s="105"/>
      <c r="AD793" s="105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105"/>
      <c r="AB794" s="105"/>
      <c r="AC794" s="105"/>
      <c r="AD794" s="105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105"/>
      <c r="AB795" s="105"/>
      <c r="AC795" s="105"/>
      <c r="AD795" s="105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105"/>
      <c r="AB796" s="105"/>
      <c r="AC796" s="105"/>
      <c r="AD796" s="105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105"/>
      <c r="AB797" s="105"/>
      <c r="AC797" s="105"/>
      <c r="AD797" s="105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105"/>
      <c r="AB798" s="105"/>
      <c r="AC798" s="105"/>
      <c r="AD798" s="105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105"/>
      <c r="AB799" s="105"/>
      <c r="AC799" s="105"/>
      <c r="AD799" s="105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105"/>
      <c r="AB800" s="105"/>
      <c r="AC800" s="105"/>
      <c r="AD800" s="105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105"/>
      <c r="AB801" s="105"/>
      <c r="AC801" s="105"/>
      <c r="AD801" s="105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105"/>
      <c r="AB802" s="105"/>
      <c r="AC802" s="105"/>
      <c r="AD802" s="105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105"/>
      <c r="AB803" s="105"/>
      <c r="AC803" s="105"/>
      <c r="AD803" s="105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105"/>
      <c r="AB804" s="105"/>
      <c r="AC804" s="105"/>
      <c r="AD804" s="105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105"/>
      <c r="AB805" s="105"/>
      <c r="AC805" s="105"/>
      <c r="AD805" s="105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105"/>
      <c r="AB806" s="105"/>
      <c r="AC806" s="105"/>
      <c r="AD806" s="105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105"/>
      <c r="AB807" s="105"/>
      <c r="AC807" s="105"/>
      <c r="AD807" s="105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105"/>
      <c r="AB808" s="105"/>
      <c r="AC808" s="105"/>
      <c r="AD808" s="105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105"/>
      <c r="AB809" s="105"/>
      <c r="AC809" s="105"/>
      <c r="AD809" s="105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105"/>
      <c r="AB810" s="105"/>
      <c r="AC810" s="105"/>
      <c r="AD810" s="105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105"/>
      <c r="AB811" s="105"/>
      <c r="AC811" s="105"/>
      <c r="AD811" s="105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105"/>
      <c r="AB812" s="105"/>
      <c r="AC812" s="105"/>
      <c r="AD812" s="105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105"/>
      <c r="AB813" s="105"/>
      <c r="AC813" s="105"/>
      <c r="AD813" s="105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105"/>
      <c r="AB814" s="105"/>
      <c r="AC814" s="105"/>
      <c r="AD814" s="105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105"/>
      <c r="AB815" s="105"/>
      <c r="AC815" s="105"/>
      <c r="AD815" s="105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105"/>
      <c r="AB816" s="105"/>
      <c r="AC816" s="105"/>
      <c r="AD816" s="105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105"/>
      <c r="AB817" s="105"/>
      <c r="AC817" s="105"/>
      <c r="AD817" s="105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105"/>
      <c r="AB818" s="105"/>
      <c r="AC818" s="105"/>
      <c r="AD818" s="105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105"/>
      <c r="AB819" s="105"/>
      <c r="AC819" s="105"/>
      <c r="AD819" s="105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105"/>
      <c r="AB820" s="105"/>
      <c r="AC820" s="105"/>
      <c r="AD820" s="105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105"/>
      <c r="AB821" s="105"/>
      <c r="AC821" s="105"/>
      <c r="AD821" s="105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105"/>
      <c r="AB822" s="105"/>
      <c r="AC822" s="105"/>
      <c r="AD822" s="105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105"/>
      <c r="AB823" s="105"/>
      <c r="AC823" s="105"/>
      <c r="AD823" s="105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105"/>
      <c r="AB824" s="105"/>
      <c r="AC824" s="105"/>
      <c r="AD824" s="105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105"/>
      <c r="AB825" s="105"/>
      <c r="AC825" s="105"/>
      <c r="AD825" s="105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105"/>
      <c r="AB826" s="105"/>
      <c r="AC826" s="105"/>
      <c r="AD826" s="105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105"/>
      <c r="AB827" s="105"/>
      <c r="AC827" s="105"/>
      <c r="AD827" s="105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105"/>
      <c r="AB828" s="105"/>
      <c r="AC828" s="105"/>
      <c r="AD828" s="105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105"/>
      <c r="AB829" s="105"/>
      <c r="AC829" s="105"/>
      <c r="AD829" s="105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105"/>
      <c r="AB830" s="105"/>
      <c r="AC830" s="105"/>
      <c r="AD830" s="105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105"/>
      <c r="AB831" s="105"/>
      <c r="AC831" s="105"/>
      <c r="AD831" s="105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105"/>
      <c r="AB832" s="105"/>
      <c r="AC832" s="105"/>
      <c r="AD832" s="105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105"/>
      <c r="AB833" s="105"/>
      <c r="AC833" s="105"/>
      <c r="AD833" s="105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105"/>
      <c r="AB834" s="105"/>
      <c r="AC834" s="105"/>
      <c r="AD834" s="105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105"/>
      <c r="AB835" s="105"/>
      <c r="AC835" s="105"/>
      <c r="AD835" s="105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105"/>
      <c r="AB836" s="105"/>
      <c r="AC836" s="105"/>
      <c r="AD836" s="105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105"/>
      <c r="AB837" s="105"/>
      <c r="AC837" s="105"/>
      <c r="AD837" s="105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105"/>
      <c r="AB838" s="105"/>
      <c r="AC838" s="105"/>
      <c r="AD838" s="105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105"/>
      <c r="AB839" s="105"/>
      <c r="AC839" s="105"/>
      <c r="AD839" s="105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105"/>
      <c r="AB840" s="105"/>
      <c r="AC840" s="105"/>
      <c r="AD840" s="105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105"/>
      <c r="AB841" s="105"/>
      <c r="AC841" s="105"/>
      <c r="AD841" s="105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105"/>
      <c r="AB842" s="105"/>
      <c r="AC842" s="105"/>
      <c r="AD842" s="105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105"/>
      <c r="AB843" s="105"/>
      <c r="AC843" s="105"/>
      <c r="AD843" s="105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105"/>
      <c r="AB844" s="105"/>
      <c r="AC844" s="105"/>
      <c r="AD844" s="105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105"/>
      <c r="AB845" s="105"/>
      <c r="AC845" s="105"/>
      <c r="AD845" s="105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105"/>
      <c r="AB846" s="105"/>
      <c r="AC846" s="105"/>
      <c r="AD846" s="105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105"/>
      <c r="AB847" s="105"/>
      <c r="AC847" s="105"/>
      <c r="AD847" s="105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105"/>
      <c r="AB848" s="105"/>
      <c r="AC848" s="105"/>
      <c r="AD848" s="105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105"/>
      <c r="AB849" s="105"/>
      <c r="AC849" s="105"/>
      <c r="AD849" s="105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105"/>
      <c r="AB850" s="105"/>
      <c r="AC850" s="105"/>
      <c r="AD850" s="105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105"/>
      <c r="AB851" s="105"/>
      <c r="AC851" s="105"/>
      <c r="AD851" s="105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105"/>
      <c r="AB852" s="105"/>
      <c r="AC852" s="105"/>
      <c r="AD852" s="105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105"/>
      <c r="AB853" s="105"/>
      <c r="AC853" s="105"/>
      <c r="AD853" s="105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105"/>
      <c r="AB854" s="105"/>
      <c r="AC854" s="105"/>
      <c r="AD854" s="105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105"/>
      <c r="AB855" s="105"/>
      <c r="AC855" s="105"/>
      <c r="AD855" s="105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105"/>
      <c r="AB856" s="105"/>
      <c r="AC856" s="105"/>
      <c r="AD856" s="105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105"/>
      <c r="AB857" s="105"/>
      <c r="AC857" s="105"/>
      <c r="AD857" s="105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105"/>
      <c r="AB858" s="105"/>
      <c r="AC858" s="105"/>
      <c r="AD858" s="105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105"/>
      <c r="AB859" s="105"/>
      <c r="AC859" s="105"/>
      <c r="AD859" s="105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105"/>
      <c r="AB860" s="105"/>
      <c r="AC860" s="105"/>
      <c r="AD860" s="105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105"/>
      <c r="AB861" s="105"/>
      <c r="AC861" s="105"/>
      <c r="AD861" s="105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105"/>
      <c r="AB862" s="105"/>
      <c r="AC862" s="105"/>
      <c r="AD862" s="105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105"/>
      <c r="AB863" s="105"/>
      <c r="AC863" s="105"/>
      <c r="AD863" s="105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105"/>
      <c r="AB864" s="105"/>
      <c r="AC864" s="105"/>
      <c r="AD864" s="105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105"/>
      <c r="AB865" s="105"/>
      <c r="AC865" s="105"/>
      <c r="AD865" s="105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105"/>
      <c r="AB866" s="105"/>
      <c r="AC866" s="105"/>
      <c r="AD866" s="105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105"/>
      <c r="AB867" s="105"/>
      <c r="AC867" s="105"/>
      <c r="AD867" s="105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105"/>
      <c r="AB868" s="105"/>
      <c r="AC868" s="105"/>
      <c r="AD868" s="105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105"/>
      <c r="AB869" s="105"/>
      <c r="AC869" s="105"/>
      <c r="AD869" s="105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105"/>
      <c r="AB870" s="105"/>
      <c r="AC870" s="105"/>
      <c r="AD870" s="105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105"/>
      <c r="AB871" s="105"/>
      <c r="AC871" s="105"/>
      <c r="AD871" s="105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105"/>
      <c r="AB872" s="105"/>
      <c r="AC872" s="105"/>
      <c r="AD872" s="105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105"/>
      <c r="AB873" s="105"/>
      <c r="AC873" s="105"/>
      <c r="AD873" s="105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105"/>
      <c r="AB874" s="105"/>
      <c r="AC874" s="105"/>
      <c r="AD874" s="105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105"/>
      <c r="AB875" s="105"/>
      <c r="AC875" s="105"/>
      <c r="AD875" s="105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105"/>
      <c r="AB876" s="105"/>
      <c r="AC876" s="105"/>
      <c r="AD876" s="105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105"/>
      <c r="AB877" s="105"/>
      <c r="AC877" s="105"/>
      <c r="AD877" s="105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105"/>
      <c r="AB878" s="105"/>
      <c r="AC878" s="105"/>
      <c r="AD878" s="105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105"/>
      <c r="AB879" s="105"/>
      <c r="AC879" s="105"/>
      <c r="AD879" s="105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105"/>
      <c r="AB880" s="105"/>
      <c r="AC880" s="105"/>
      <c r="AD880" s="105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105"/>
      <c r="AB881" s="105"/>
      <c r="AC881" s="105"/>
      <c r="AD881" s="105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105"/>
      <c r="AB882" s="105"/>
      <c r="AC882" s="105"/>
      <c r="AD882" s="105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105"/>
      <c r="AB883" s="105"/>
      <c r="AC883" s="105"/>
      <c r="AD883" s="105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105"/>
      <c r="AB884" s="105"/>
      <c r="AC884" s="105"/>
      <c r="AD884" s="105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105"/>
      <c r="AB885" s="105"/>
      <c r="AC885" s="105"/>
      <c r="AD885" s="105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105"/>
      <c r="AB886" s="105"/>
      <c r="AC886" s="105"/>
      <c r="AD886" s="105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105"/>
      <c r="AB887" s="105"/>
      <c r="AC887" s="105"/>
      <c r="AD887" s="105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105"/>
      <c r="AB888" s="105"/>
      <c r="AC888" s="105"/>
      <c r="AD888" s="105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105"/>
      <c r="AB889" s="105"/>
      <c r="AC889" s="105"/>
      <c r="AD889" s="105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105"/>
      <c r="AB890" s="105"/>
      <c r="AC890" s="105"/>
      <c r="AD890" s="105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105"/>
      <c r="AB891" s="105"/>
      <c r="AC891" s="105"/>
      <c r="AD891" s="105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105"/>
      <c r="AB892" s="105"/>
      <c r="AC892" s="105"/>
      <c r="AD892" s="105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105"/>
      <c r="AB893" s="105"/>
      <c r="AC893" s="105"/>
      <c r="AD893" s="105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105"/>
      <c r="AB894" s="105"/>
      <c r="AC894" s="105"/>
      <c r="AD894" s="105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105"/>
      <c r="AB895" s="105"/>
      <c r="AC895" s="105"/>
      <c r="AD895" s="105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105"/>
      <c r="AB896" s="105"/>
      <c r="AC896" s="105"/>
      <c r="AD896" s="105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105"/>
      <c r="AB897" s="105"/>
      <c r="AC897" s="105"/>
      <c r="AD897" s="105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105"/>
      <c r="AB898" s="105"/>
      <c r="AC898" s="105"/>
      <c r="AD898" s="105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105"/>
      <c r="AB899" s="105"/>
      <c r="AC899" s="105"/>
      <c r="AD899" s="105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105"/>
      <c r="AB900" s="105"/>
      <c r="AC900" s="105"/>
      <c r="AD900" s="105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105"/>
      <c r="AB901" s="105"/>
      <c r="AC901" s="105"/>
      <c r="AD901" s="105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105"/>
      <c r="AB902" s="105"/>
      <c r="AC902" s="105"/>
      <c r="AD902" s="105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105"/>
      <c r="AB903" s="105"/>
      <c r="AC903" s="105"/>
      <c r="AD903" s="105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105"/>
      <c r="AB904" s="105"/>
      <c r="AC904" s="105"/>
      <c r="AD904" s="105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105"/>
      <c r="AB905" s="105"/>
      <c r="AC905" s="105"/>
      <c r="AD905" s="105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105"/>
      <c r="AB906" s="105"/>
      <c r="AC906" s="105"/>
      <c r="AD906" s="105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105"/>
      <c r="AB907" s="105"/>
      <c r="AC907" s="105"/>
      <c r="AD907" s="105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105"/>
      <c r="AB908" s="105"/>
      <c r="AC908" s="105"/>
      <c r="AD908" s="105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105"/>
      <c r="AB909" s="105"/>
      <c r="AC909" s="105"/>
      <c r="AD909" s="105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105"/>
      <c r="AB910" s="105"/>
      <c r="AC910" s="105"/>
      <c r="AD910" s="105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105"/>
      <c r="AB911" s="105"/>
      <c r="AC911" s="105"/>
      <c r="AD911" s="105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105"/>
      <c r="AB912" s="105"/>
      <c r="AC912" s="105"/>
      <c r="AD912" s="105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105"/>
      <c r="AB913" s="105"/>
      <c r="AC913" s="105"/>
      <c r="AD913" s="105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105"/>
      <c r="AB914" s="105"/>
      <c r="AC914" s="105"/>
      <c r="AD914" s="105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105"/>
      <c r="AB915" s="105"/>
      <c r="AC915" s="105"/>
      <c r="AD915" s="105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105"/>
      <c r="AB916" s="105"/>
      <c r="AC916" s="105"/>
      <c r="AD916" s="105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105"/>
      <c r="AB917" s="105"/>
      <c r="AC917" s="105"/>
      <c r="AD917" s="105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105"/>
      <c r="AB918" s="105"/>
      <c r="AC918" s="105"/>
      <c r="AD918" s="105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105"/>
      <c r="AB919" s="105"/>
      <c r="AC919" s="105"/>
      <c r="AD919" s="105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105"/>
      <c r="AB920" s="105"/>
      <c r="AC920" s="105"/>
      <c r="AD920" s="105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105"/>
      <c r="AB921" s="105"/>
      <c r="AC921" s="105"/>
      <c r="AD921" s="105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105"/>
      <c r="AB922" s="105"/>
      <c r="AC922" s="105"/>
      <c r="AD922" s="105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105"/>
      <c r="AB923" s="105"/>
      <c r="AC923" s="105"/>
      <c r="AD923" s="105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105"/>
      <c r="AB924" s="105"/>
      <c r="AC924" s="105"/>
      <c r="AD924" s="105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105"/>
      <c r="AB925" s="105"/>
      <c r="AC925" s="105"/>
      <c r="AD925" s="105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105"/>
      <c r="AB926" s="105"/>
      <c r="AC926" s="105"/>
      <c r="AD926" s="105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105"/>
      <c r="AB927" s="105"/>
      <c r="AC927" s="105"/>
      <c r="AD927" s="105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105"/>
      <c r="AB928" s="105"/>
      <c r="AC928" s="105"/>
      <c r="AD928" s="105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105"/>
      <c r="AB929" s="105"/>
      <c r="AC929" s="105"/>
      <c r="AD929" s="105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105"/>
      <c r="AB930" s="105"/>
      <c r="AC930" s="105"/>
      <c r="AD930" s="105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105"/>
      <c r="AB931" s="105"/>
      <c r="AC931" s="105"/>
      <c r="AD931" s="105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105"/>
      <c r="AB932" s="105"/>
      <c r="AC932" s="105"/>
      <c r="AD932" s="105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105"/>
      <c r="AB933" s="105"/>
      <c r="AC933" s="105"/>
      <c r="AD933" s="105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105"/>
      <c r="AB934" s="105"/>
      <c r="AC934" s="105"/>
      <c r="AD934" s="105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105"/>
      <c r="AB935" s="105"/>
      <c r="AC935" s="105"/>
      <c r="AD935" s="105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105"/>
      <c r="AB936" s="105"/>
      <c r="AC936" s="105"/>
      <c r="AD936" s="105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105"/>
      <c r="AB937" s="105"/>
      <c r="AC937" s="105"/>
      <c r="AD937" s="105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105"/>
      <c r="AB938" s="105"/>
      <c r="AC938" s="105"/>
      <c r="AD938" s="105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105"/>
      <c r="AB939" s="105"/>
      <c r="AC939" s="105"/>
      <c r="AD939" s="105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105"/>
      <c r="AB940" s="105"/>
      <c r="AC940" s="105"/>
      <c r="AD940" s="105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105"/>
      <c r="AB941" s="105"/>
      <c r="AC941" s="105"/>
      <c r="AD941" s="105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105"/>
      <c r="AB942" s="105"/>
      <c r="AC942" s="105"/>
      <c r="AD942" s="105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105"/>
      <c r="AB943" s="105"/>
      <c r="AC943" s="105"/>
      <c r="AD943" s="105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105"/>
      <c r="AB944" s="105"/>
      <c r="AC944" s="105"/>
      <c r="AD944" s="105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105"/>
      <c r="AB945" s="105"/>
      <c r="AC945" s="105"/>
      <c r="AD945" s="105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105"/>
      <c r="AB946" s="105"/>
      <c r="AC946" s="105"/>
      <c r="AD946" s="105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105"/>
      <c r="AB947" s="105"/>
      <c r="AC947" s="105"/>
      <c r="AD947" s="105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105"/>
      <c r="AB948" s="105"/>
      <c r="AC948" s="105"/>
      <c r="AD948" s="105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105"/>
      <c r="AB949" s="105"/>
      <c r="AC949" s="105"/>
      <c r="AD949" s="105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105"/>
      <c r="AB950" s="105"/>
      <c r="AC950" s="105"/>
      <c r="AD950" s="105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105"/>
      <c r="AB951" s="105"/>
      <c r="AC951" s="105"/>
      <c r="AD951" s="105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105"/>
      <c r="AB952" s="105"/>
      <c r="AC952" s="105"/>
      <c r="AD952" s="105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105"/>
      <c r="AB953" s="105"/>
      <c r="AC953" s="105"/>
      <c r="AD953" s="105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105"/>
      <c r="AB954" s="105"/>
      <c r="AC954" s="105"/>
      <c r="AD954" s="105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105"/>
      <c r="AB955" s="105"/>
      <c r="AC955" s="105"/>
      <c r="AD955" s="105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105"/>
      <c r="AB956" s="105"/>
      <c r="AC956" s="105"/>
      <c r="AD956" s="105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105"/>
      <c r="AB957" s="105"/>
      <c r="AC957" s="105"/>
      <c r="AD957" s="105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105"/>
      <c r="AB958" s="105"/>
      <c r="AC958" s="105"/>
      <c r="AD958" s="105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105"/>
      <c r="AB959" s="105"/>
      <c r="AC959" s="105"/>
      <c r="AD959" s="105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105"/>
      <c r="AB960" s="105"/>
      <c r="AC960" s="105"/>
      <c r="AD960" s="105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105"/>
      <c r="AB961" s="105"/>
      <c r="AC961" s="105"/>
      <c r="AD961" s="105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105"/>
      <c r="AB962" s="105"/>
      <c r="AC962" s="105"/>
      <c r="AD962" s="105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105"/>
      <c r="AB963" s="105"/>
      <c r="AC963" s="105"/>
      <c r="AD963" s="105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105"/>
      <c r="AB964" s="105"/>
      <c r="AC964" s="105"/>
      <c r="AD964" s="105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105"/>
      <c r="AB965" s="105"/>
      <c r="AC965" s="105"/>
      <c r="AD965" s="105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105"/>
      <c r="AB966" s="105"/>
      <c r="AC966" s="105"/>
      <c r="AD966" s="105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105"/>
      <c r="AB967" s="105"/>
      <c r="AC967" s="105"/>
      <c r="AD967" s="105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105"/>
      <c r="AB968" s="105"/>
      <c r="AC968" s="105"/>
      <c r="AD968" s="105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105"/>
      <c r="AB969" s="105"/>
      <c r="AC969" s="105"/>
      <c r="AD969" s="105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105"/>
      <c r="AB970" s="105"/>
      <c r="AC970" s="105"/>
      <c r="AD970" s="105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105"/>
      <c r="AB971" s="105"/>
      <c r="AC971" s="105"/>
      <c r="AD971" s="105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105"/>
      <c r="AB972" s="105"/>
      <c r="AC972" s="105"/>
      <c r="AD972" s="105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105"/>
      <c r="AB973" s="105"/>
      <c r="AC973" s="105"/>
      <c r="AD973" s="105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105"/>
      <c r="AB974" s="105"/>
      <c r="AC974" s="105"/>
      <c r="AD974" s="105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105"/>
      <c r="AB975" s="105"/>
      <c r="AC975" s="105"/>
      <c r="AD975" s="105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105"/>
      <c r="AB976" s="105"/>
      <c r="AC976" s="105"/>
      <c r="AD976" s="105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105"/>
      <c r="AB977" s="105"/>
      <c r="AC977" s="105"/>
      <c r="AD977" s="105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105"/>
      <c r="AB978" s="105"/>
      <c r="AC978" s="105"/>
      <c r="AD978" s="105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105"/>
      <c r="AB979" s="105"/>
      <c r="AC979" s="105"/>
      <c r="AD979" s="105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105"/>
      <c r="AB980" s="105"/>
      <c r="AC980" s="105"/>
      <c r="AD980" s="105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105"/>
      <c r="AB981" s="105"/>
      <c r="AC981" s="105"/>
      <c r="AD981" s="105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105"/>
      <c r="AB982" s="105"/>
      <c r="AC982" s="105"/>
      <c r="AD982" s="105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105"/>
      <c r="AB983" s="105"/>
      <c r="AC983" s="105"/>
      <c r="AD983" s="105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105"/>
      <c r="AB984" s="105"/>
      <c r="AC984" s="105"/>
      <c r="AD984" s="105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105"/>
      <c r="AB985" s="105"/>
      <c r="AC985" s="105"/>
      <c r="AD985" s="105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105"/>
      <c r="AB986" s="105"/>
      <c r="AC986" s="105"/>
      <c r="AD986" s="105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105"/>
      <c r="AB987" s="105"/>
      <c r="AC987" s="105"/>
      <c r="AD987" s="105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105"/>
      <c r="AB988" s="105"/>
      <c r="AC988" s="105"/>
      <c r="AD988" s="105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105"/>
      <c r="AB989" s="105"/>
      <c r="AC989" s="105"/>
      <c r="AD989" s="105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105"/>
      <c r="AB990" s="105"/>
      <c r="AC990" s="105"/>
      <c r="AD990" s="105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105"/>
      <c r="AB991" s="105"/>
      <c r="AC991" s="105"/>
      <c r="AD991" s="105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105"/>
      <c r="AB992" s="105"/>
      <c r="AC992" s="105"/>
      <c r="AD992" s="105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105"/>
      <c r="AB993" s="105"/>
      <c r="AC993" s="105"/>
      <c r="AD993" s="105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105"/>
      <c r="AB994" s="105"/>
      <c r="AC994" s="105"/>
      <c r="AD994" s="105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105"/>
      <c r="AB995" s="105"/>
      <c r="AC995" s="105"/>
      <c r="AD995" s="105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105"/>
      <c r="AB996" s="105"/>
      <c r="AC996" s="105"/>
      <c r="AD996" s="105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105"/>
      <c r="AB997" s="105"/>
      <c r="AC997" s="105"/>
      <c r="AD997" s="105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105"/>
      <c r="AB998" s="105"/>
      <c r="AC998" s="105"/>
      <c r="AD998" s="105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105"/>
      <c r="AB999" s="105"/>
      <c r="AC999" s="105"/>
      <c r="AD999" s="105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105"/>
      <c r="AB1000" s="105"/>
      <c r="AC1000" s="105"/>
      <c r="AD1000" s="105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105"/>
      <c r="AB1001" s="105"/>
      <c r="AC1001" s="105"/>
      <c r="AD1001" s="105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105"/>
      <c r="AB1002" s="105"/>
      <c r="AC1002" s="105"/>
      <c r="AD1002" s="105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105"/>
      <c r="AB1003" s="105"/>
      <c r="AC1003" s="105"/>
      <c r="AD1003" s="105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105"/>
      <c r="AB1004" s="105"/>
      <c r="AC1004" s="105"/>
      <c r="AD1004" s="105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105"/>
      <c r="AB1005" s="105"/>
      <c r="AC1005" s="105"/>
      <c r="AD1005" s="105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105"/>
      <c r="AB1006" s="105"/>
      <c r="AC1006" s="105"/>
      <c r="AD1006" s="105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105"/>
      <c r="AB1007" s="105"/>
      <c r="AC1007" s="105"/>
      <c r="AD1007" s="105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105"/>
      <c r="AB1008" s="105"/>
      <c r="AC1008" s="105"/>
      <c r="AD1008" s="105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105"/>
      <c r="AB1009" s="105"/>
      <c r="AC1009" s="105"/>
      <c r="AD1009" s="105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105"/>
      <c r="AB1010" s="105"/>
      <c r="AC1010" s="105"/>
      <c r="AD1010" s="105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105"/>
      <c r="AB1011" s="105"/>
      <c r="AC1011" s="105"/>
      <c r="AD1011" s="105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105"/>
      <c r="AB1012" s="105"/>
      <c r="AC1012" s="105"/>
      <c r="AD1012" s="105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105"/>
      <c r="AB1013" s="105"/>
      <c r="AC1013" s="105"/>
      <c r="AD1013" s="105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105"/>
      <c r="AB1014" s="105"/>
      <c r="AC1014" s="105"/>
      <c r="AD1014" s="105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105"/>
      <c r="AB1015" s="105"/>
      <c r="AC1015" s="105"/>
      <c r="AD1015" s="105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105"/>
      <c r="AB1016" s="105"/>
      <c r="AC1016" s="105"/>
      <c r="AD1016" s="105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105"/>
      <c r="AB1017" s="105"/>
      <c r="AC1017" s="105"/>
      <c r="AD1017" s="105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105"/>
      <c r="AB1018" s="105"/>
      <c r="AC1018" s="105"/>
      <c r="AD1018" s="105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105"/>
      <c r="AB1019" s="105"/>
      <c r="AC1019" s="105"/>
      <c r="AD1019" s="105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105"/>
      <c r="AB1020" s="105"/>
      <c r="AC1020" s="105"/>
      <c r="AD1020" s="105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105"/>
      <c r="AB1021" s="105"/>
      <c r="AC1021" s="105"/>
      <c r="AD1021" s="105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105"/>
      <c r="AB1022" s="105"/>
      <c r="AC1022" s="105"/>
      <c r="AD1022" s="105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105"/>
      <c r="AB1023" s="105"/>
      <c r="AC1023" s="105"/>
      <c r="AD1023" s="105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105"/>
      <c r="AB1024" s="105"/>
      <c r="AC1024" s="105"/>
      <c r="AD1024" s="105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105"/>
      <c r="AB1025" s="105"/>
      <c r="AC1025" s="105"/>
      <c r="AD1025" s="105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105"/>
      <c r="AB1026" s="105"/>
      <c r="AC1026" s="105"/>
      <c r="AD1026" s="105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105"/>
      <c r="AB1027" s="105"/>
      <c r="AC1027" s="105"/>
      <c r="AD1027" s="105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105"/>
      <c r="AB1028" s="105"/>
      <c r="AC1028" s="105"/>
      <c r="AD1028" s="105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105"/>
      <c r="AB1029" s="105"/>
      <c r="AC1029" s="105"/>
      <c r="AD1029" s="105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105"/>
      <c r="AB1030" s="105"/>
      <c r="AC1030" s="105"/>
      <c r="AD1030" s="105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105"/>
      <c r="AB1031" s="105"/>
      <c r="AC1031" s="105"/>
      <c r="AD1031" s="105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105"/>
      <c r="AB1032" s="105"/>
      <c r="AC1032" s="105"/>
      <c r="AD1032" s="105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105"/>
      <c r="AB1033" s="105"/>
      <c r="AC1033" s="105"/>
      <c r="AD1033" s="105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105"/>
      <c r="AB1034" s="105"/>
      <c r="AC1034" s="105"/>
      <c r="AD1034" s="105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105"/>
      <c r="AB1035" s="105"/>
      <c r="AC1035" s="105"/>
      <c r="AD1035" s="105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105"/>
      <c r="AB1036" s="105"/>
      <c r="AC1036" s="105"/>
      <c r="AD1036" s="105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105"/>
      <c r="AB1037" s="105"/>
      <c r="AC1037" s="105"/>
      <c r="AD1037" s="105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105"/>
      <c r="AB1038" s="105"/>
      <c r="AC1038" s="105"/>
      <c r="AD1038" s="105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105"/>
      <c r="AB1039" s="105"/>
      <c r="AC1039" s="105"/>
      <c r="AD1039" s="105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105"/>
      <c r="AB1040" s="105"/>
      <c r="AC1040" s="105"/>
      <c r="AD1040" s="105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105"/>
      <c r="AB1041" s="105"/>
      <c r="AC1041" s="105"/>
      <c r="AD1041" s="105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105"/>
      <c r="AB1042" s="105"/>
      <c r="AC1042" s="105"/>
      <c r="AD1042" s="105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105"/>
      <c r="AB1043" s="105"/>
      <c r="AC1043" s="105"/>
      <c r="AD1043" s="105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105"/>
      <c r="AB1044" s="105"/>
      <c r="AC1044" s="105"/>
      <c r="AD1044" s="105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105"/>
      <c r="AB1045" s="105"/>
      <c r="AC1045" s="105"/>
      <c r="AD1045" s="105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105"/>
      <c r="AB1046" s="105"/>
      <c r="AC1046" s="105"/>
      <c r="AD1046" s="105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105"/>
      <c r="AB1047" s="105"/>
      <c r="AC1047" s="105"/>
      <c r="AD1047" s="105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105"/>
      <c r="AB1048" s="105"/>
      <c r="AC1048" s="105"/>
      <c r="AD1048" s="105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105"/>
      <c r="AB1049" s="105"/>
      <c r="AC1049" s="105"/>
      <c r="AD1049" s="105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105"/>
      <c r="AB1050" s="105"/>
      <c r="AC1050" s="105"/>
      <c r="AD1050" s="105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105"/>
      <c r="AB1051" s="105"/>
      <c r="AC1051" s="105"/>
      <c r="AD1051" s="105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105"/>
      <c r="AB1052" s="105"/>
      <c r="AC1052" s="105"/>
      <c r="AD1052" s="105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105"/>
      <c r="AB1053" s="105"/>
      <c r="AC1053" s="105"/>
      <c r="AD1053" s="105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105"/>
      <c r="AB1054" s="105"/>
      <c r="AC1054" s="105"/>
      <c r="AD1054" s="105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105"/>
      <c r="AB1055" s="105"/>
      <c r="AC1055" s="105"/>
      <c r="AD1055" s="105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105"/>
      <c r="AB1056" s="105"/>
      <c r="AC1056" s="105"/>
      <c r="AD1056" s="105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105"/>
      <c r="AB1057" s="105"/>
      <c r="AC1057" s="105"/>
      <c r="AD1057" s="105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105"/>
      <c r="AB1058" s="105"/>
      <c r="AC1058" s="105"/>
      <c r="AD1058" s="105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105"/>
      <c r="AB1059" s="105"/>
      <c r="AC1059" s="105"/>
      <c r="AD1059" s="105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105"/>
      <c r="AB1060" s="105"/>
      <c r="AC1060" s="105"/>
      <c r="AD1060" s="105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105"/>
      <c r="AB1061" s="105"/>
      <c r="AC1061" s="105"/>
      <c r="AD1061" s="105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105"/>
      <c r="AB1062" s="105"/>
      <c r="AC1062" s="105"/>
      <c r="AD1062" s="105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105"/>
      <c r="AB1063" s="105"/>
      <c r="AC1063" s="105"/>
      <c r="AD1063" s="105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105"/>
      <c r="AB1064" s="105"/>
      <c r="AC1064" s="105"/>
      <c r="AD1064" s="105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105"/>
      <c r="AB1065" s="105"/>
      <c r="AC1065" s="105"/>
      <c r="AD1065" s="105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105"/>
      <c r="AB1066" s="105"/>
      <c r="AC1066" s="105"/>
      <c r="AD1066" s="105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105"/>
      <c r="AB1067" s="105"/>
      <c r="AC1067" s="105"/>
      <c r="AD1067" s="105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105"/>
      <c r="AB1068" s="105"/>
      <c r="AC1068" s="105"/>
      <c r="AD1068" s="105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105"/>
      <c r="AB1069" s="105"/>
      <c r="AC1069" s="105"/>
      <c r="AD1069" s="105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105"/>
      <c r="AB1070" s="105"/>
      <c r="AC1070" s="105"/>
      <c r="AD1070" s="105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105"/>
      <c r="AB1071" s="105"/>
      <c r="AC1071" s="105"/>
      <c r="AD1071" s="105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105"/>
      <c r="AB1072" s="105"/>
      <c r="AC1072" s="105"/>
      <c r="AD1072" s="105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105"/>
      <c r="AB1073" s="105"/>
      <c r="AC1073" s="105"/>
      <c r="AD1073" s="105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105"/>
      <c r="AB1074" s="105"/>
      <c r="AC1074" s="105"/>
      <c r="AD1074" s="105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105"/>
      <c r="AB1075" s="105"/>
      <c r="AC1075" s="105"/>
      <c r="AD1075" s="105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105"/>
      <c r="AB1076" s="105"/>
      <c r="AC1076" s="105"/>
      <c r="AD1076" s="105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105"/>
      <c r="AB1077" s="105"/>
      <c r="AC1077" s="105"/>
      <c r="AD1077" s="105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105"/>
      <c r="AB1078" s="105"/>
      <c r="AC1078" s="105"/>
      <c r="AD1078" s="105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105"/>
      <c r="AB1079" s="105"/>
      <c r="AC1079" s="105"/>
      <c r="AD1079" s="105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105"/>
      <c r="AB1080" s="105"/>
      <c r="AC1080" s="105"/>
      <c r="AD1080" s="105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105"/>
      <c r="AB1081" s="105"/>
      <c r="AC1081" s="105"/>
      <c r="AD1081" s="105"/>
    </row>
  </sheetData>
  <autoFilter ref="$G$8:$K$20">
    <sortState ref="G8:K20">
      <sortCondition ref="G8:G20"/>
    </sortState>
  </autoFilter>
  <mergeCells count="7">
    <mergeCell ref="G2:I4"/>
    <mergeCell ref="B7:E7"/>
    <mergeCell ref="G7:K7"/>
    <mergeCell ref="M7:R7"/>
    <mergeCell ref="T7:Z7"/>
    <mergeCell ref="C45:E45"/>
    <mergeCell ref="M104:R104"/>
  </mergeCells>
  <dataValidations>
    <dataValidation type="list" allowBlank="1" showErrorMessage="1" sqref="O9:O21 O106:O115">
      <formula1>"Alimentação,Beleza,Bem-estar/Saúde,Celular/tecnologia,Contabilidade/impostos,Educação médica,Eventos,Futilidades,Lazer,Presentes,Roupas/acessórios,Transporte,Viagens,Reembolsos,Casa"</formula1>
    </dataValidation>
    <dataValidation type="list" allowBlank="1" showErrorMessage="1" sqref="R14:R15 E9:E19 R111:R112 R116:R120">
      <formula1>"Pix,Itaú,Nubank,Dinheiro"</formula1>
    </dataValidation>
    <dataValidation type="list" allowBlank="1" showErrorMessage="1" sqref="I9:I95 O22:O95 O116:O120">
      <formula1>"Alimentação,Beleza,Bem-estar/Saúde,Celular/tecnologia,Contabilidade/impostos,Educação médica,Eventos,Futilidades,Lazer,Presentes,Roupas/acessórios,Transporte,Viagens,Reembolsos,Casa"</formula1>
    </dataValidation>
    <dataValidation type="list" allowBlank="1" showErrorMessage="1" sqref="R9:R13 K9:K95 R16:R95 R106:R110 R113:R115">
      <formula1>"Pix,Itaú,Nubank,Dinheiro,Boleto"</formula1>
    </dataValidation>
    <dataValidation type="list" allowBlank="1" showErrorMessage="1" sqref="C9:C19">
      <formula1>"Asmel,Aval,Salubritá,Reembolsos,Outros,Rendimentos"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7.88"/>
    <col customWidth="1" min="3" max="3" width="23.25"/>
    <col customWidth="1" min="4" max="4" width="12.13"/>
    <col customWidth="1" min="5" max="5" width="11.13"/>
    <col customWidth="1" min="7" max="7" width="8.0"/>
    <col customWidth="1" min="8" max="8" width="21.0"/>
    <col customWidth="1" min="9" max="9" width="14.13"/>
    <col customWidth="1" min="10" max="11" width="9.75"/>
    <col customWidth="1" min="13" max="13" width="10.75"/>
    <col customWidth="1" min="14" max="14" width="20.25"/>
    <col customWidth="1" min="15" max="15" width="13.63"/>
    <col customWidth="1" min="16" max="16" width="7.75"/>
    <col customWidth="1" min="17" max="17" width="11.13"/>
    <col customWidth="1" min="18" max="18" width="10.88"/>
  </cols>
  <sheetData>
    <row r="1">
      <c r="A1" s="2"/>
      <c r="B1" s="2"/>
      <c r="C1" s="2"/>
      <c r="D1" s="2"/>
      <c r="E1" s="2"/>
      <c r="F1" s="2"/>
      <c r="G1" s="3"/>
      <c r="H1" s="3"/>
      <c r="I1" s="3"/>
      <c r="J1" s="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05"/>
      <c r="AB1" s="105"/>
      <c r="AC1" s="105"/>
      <c r="AD1" s="105"/>
    </row>
    <row r="2">
      <c r="A2" s="2"/>
      <c r="B2" s="2"/>
      <c r="C2" s="2"/>
      <c r="D2" s="2"/>
      <c r="E2" s="2"/>
      <c r="F2" s="4"/>
      <c r="G2" s="5" t="s">
        <v>231</v>
      </c>
      <c r="H2" s="6"/>
      <c r="I2" s="7"/>
      <c r="J2" s="8"/>
      <c r="K2" s="9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105"/>
      <c r="AB2" s="105"/>
      <c r="AC2" s="105"/>
      <c r="AD2" s="105"/>
    </row>
    <row r="3">
      <c r="A3" s="2"/>
      <c r="B3" s="2"/>
      <c r="C3" s="2"/>
      <c r="D3" s="2"/>
      <c r="E3" s="2"/>
      <c r="F3" s="4"/>
      <c r="G3" s="10"/>
      <c r="I3" s="11"/>
      <c r="J3" s="8"/>
      <c r="K3" s="9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105"/>
      <c r="AB3" s="105"/>
      <c r="AC3" s="105"/>
      <c r="AD3" s="105"/>
    </row>
    <row r="4">
      <c r="A4" s="2"/>
      <c r="B4" s="2"/>
      <c r="C4" s="2"/>
      <c r="D4" s="2"/>
      <c r="E4" s="2"/>
      <c r="F4" s="4"/>
      <c r="G4" s="12"/>
      <c r="H4" s="13"/>
      <c r="I4" s="14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105"/>
      <c r="AB4" s="105"/>
      <c r="AC4" s="105"/>
      <c r="AD4" s="105"/>
    </row>
    <row r="5">
      <c r="A5" s="2"/>
      <c r="B5" s="2"/>
      <c r="C5" s="2"/>
      <c r="D5" s="2"/>
      <c r="E5" s="2"/>
      <c r="F5" s="2"/>
      <c r="G5" s="15"/>
      <c r="H5" s="15"/>
      <c r="I5" s="15"/>
      <c r="J5" s="15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105"/>
      <c r="AB5" s="105"/>
      <c r="AC5" s="105"/>
      <c r="AD5" s="105"/>
    </row>
    <row r="6">
      <c r="A6" s="2"/>
      <c r="B6" s="3"/>
      <c r="C6" s="3"/>
      <c r="D6" s="3"/>
      <c r="E6" s="3"/>
      <c r="F6" s="2"/>
      <c r="G6" s="3"/>
      <c r="H6" s="3"/>
      <c r="I6" s="3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105"/>
      <c r="AB6" s="105"/>
      <c r="AC6" s="105"/>
      <c r="AD6" s="105"/>
    </row>
    <row r="7">
      <c r="A7" s="4"/>
      <c r="B7" s="16" t="s">
        <v>1</v>
      </c>
      <c r="C7" s="17"/>
      <c r="D7" s="17"/>
      <c r="E7" s="18"/>
      <c r="F7" s="9"/>
      <c r="G7" s="19" t="s">
        <v>2</v>
      </c>
      <c r="H7" s="17"/>
      <c r="I7" s="17"/>
      <c r="J7" s="17"/>
      <c r="K7" s="18"/>
      <c r="L7" s="2"/>
      <c r="M7" s="21" t="s">
        <v>3</v>
      </c>
      <c r="N7" s="17"/>
      <c r="O7" s="17"/>
      <c r="P7" s="17"/>
      <c r="Q7" s="17"/>
      <c r="R7" s="18"/>
      <c r="S7" s="2"/>
      <c r="T7" s="22" t="s">
        <v>4</v>
      </c>
      <c r="U7" s="17"/>
      <c r="V7" s="17"/>
      <c r="W7" s="17"/>
      <c r="X7" s="17"/>
      <c r="Y7" s="17"/>
      <c r="Z7" s="18"/>
      <c r="AA7" s="106"/>
      <c r="AB7" s="107"/>
      <c r="AC7" s="107"/>
      <c r="AD7" s="107"/>
    </row>
    <row r="8">
      <c r="A8" s="4"/>
      <c r="B8" s="25" t="s">
        <v>5</v>
      </c>
      <c r="C8" s="26" t="s">
        <v>6</v>
      </c>
      <c r="D8" s="27" t="s">
        <v>7</v>
      </c>
      <c r="E8" s="26" t="s">
        <v>8</v>
      </c>
      <c r="F8" s="9"/>
      <c r="G8" s="28" t="s">
        <v>5</v>
      </c>
      <c r="H8" s="28" t="s">
        <v>6</v>
      </c>
      <c r="I8" s="28" t="s">
        <v>9</v>
      </c>
      <c r="J8" s="29" t="s">
        <v>7</v>
      </c>
      <c r="K8" s="28" t="s">
        <v>8</v>
      </c>
      <c r="L8" s="2"/>
      <c r="M8" s="108" t="s">
        <v>5</v>
      </c>
      <c r="N8" s="108" t="s">
        <v>6</v>
      </c>
      <c r="O8" s="108" t="s">
        <v>9</v>
      </c>
      <c r="P8" s="109" t="s">
        <v>10</v>
      </c>
      <c r="Q8" s="109" t="s">
        <v>7</v>
      </c>
      <c r="R8" s="108" t="s">
        <v>8</v>
      </c>
      <c r="S8" s="2"/>
      <c r="T8" s="32" t="s">
        <v>5</v>
      </c>
      <c r="U8" s="32" t="s">
        <v>9</v>
      </c>
      <c r="V8" s="33" t="s">
        <v>7</v>
      </c>
      <c r="W8" s="32" t="s">
        <v>11</v>
      </c>
      <c r="X8" s="32" t="s">
        <v>12</v>
      </c>
      <c r="Y8" s="32" t="s">
        <v>13</v>
      </c>
      <c r="Z8" s="32" t="s">
        <v>14</v>
      </c>
      <c r="AA8" s="110"/>
      <c r="AB8" s="111"/>
      <c r="AC8" s="111"/>
      <c r="AD8" s="111"/>
    </row>
    <row r="9">
      <c r="A9" s="4"/>
      <c r="B9" s="36" t="s">
        <v>232</v>
      </c>
      <c r="C9" s="37" t="s">
        <v>29</v>
      </c>
      <c r="D9" s="38">
        <v>1486.66</v>
      </c>
      <c r="E9" s="37"/>
      <c r="F9" s="9"/>
      <c r="G9" s="39">
        <v>45980.0</v>
      </c>
      <c r="H9" s="37" t="s">
        <v>18</v>
      </c>
      <c r="I9" s="37" t="s">
        <v>19</v>
      </c>
      <c r="J9" s="38">
        <v>34.99</v>
      </c>
      <c r="K9" s="37" t="s">
        <v>17</v>
      </c>
      <c r="L9" s="2"/>
      <c r="M9" s="40">
        <v>45751.0</v>
      </c>
      <c r="N9" s="37" t="s">
        <v>20</v>
      </c>
      <c r="O9" s="37" t="s">
        <v>46</v>
      </c>
      <c r="P9" s="36" t="s">
        <v>233</v>
      </c>
      <c r="Q9" s="38">
        <v>99.99</v>
      </c>
      <c r="R9" s="37" t="s">
        <v>21</v>
      </c>
      <c r="S9" s="2"/>
      <c r="T9" s="41"/>
      <c r="U9" s="37"/>
      <c r="V9" s="38"/>
      <c r="W9" s="42"/>
      <c r="X9" s="38"/>
      <c r="Y9" s="43"/>
      <c r="Z9" s="38"/>
      <c r="AA9" s="112"/>
      <c r="AB9" s="113"/>
      <c r="AC9" s="113"/>
      <c r="AD9" s="113"/>
    </row>
    <row r="10">
      <c r="A10" s="4"/>
      <c r="B10" s="36"/>
      <c r="C10" s="37" t="s">
        <v>41</v>
      </c>
      <c r="D10" s="38">
        <v>3410.0</v>
      </c>
      <c r="E10" s="37"/>
      <c r="F10" s="9"/>
      <c r="G10" s="39">
        <v>45986.0</v>
      </c>
      <c r="H10" s="37" t="s">
        <v>25</v>
      </c>
      <c r="I10" s="37" t="s">
        <v>19</v>
      </c>
      <c r="J10" s="38">
        <v>44.9</v>
      </c>
      <c r="K10" s="37" t="s">
        <v>17</v>
      </c>
      <c r="L10" s="2"/>
      <c r="M10" s="40">
        <v>45905.0</v>
      </c>
      <c r="N10" s="37" t="s">
        <v>51</v>
      </c>
      <c r="O10" s="37" t="s">
        <v>16</v>
      </c>
      <c r="P10" s="36" t="s">
        <v>234</v>
      </c>
      <c r="Q10" s="38">
        <v>100.07</v>
      </c>
      <c r="R10" s="37" t="s">
        <v>17</v>
      </c>
      <c r="S10" s="2"/>
      <c r="T10" s="41"/>
      <c r="U10" s="37"/>
      <c r="V10" s="38"/>
      <c r="W10" s="42"/>
      <c r="X10" s="46"/>
      <c r="Y10" s="43"/>
      <c r="Z10" s="38"/>
      <c r="AA10" s="112"/>
      <c r="AB10" s="113"/>
      <c r="AC10" s="113"/>
      <c r="AD10" s="113"/>
    </row>
    <row r="11">
      <c r="A11" s="4"/>
      <c r="B11" s="36"/>
      <c r="C11" s="37" t="s">
        <v>29</v>
      </c>
      <c r="D11" s="38">
        <v>1840.0</v>
      </c>
      <c r="E11" s="37"/>
      <c r="F11" s="9"/>
      <c r="G11" s="39">
        <v>45987.0</v>
      </c>
      <c r="H11" s="37" t="s">
        <v>30</v>
      </c>
      <c r="I11" s="37" t="s">
        <v>31</v>
      </c>
      <c r="J11" s="38">
        <v>100.0</v>
      </c>
      <c r="K11" s="37" t="s">
        <v>17</v>
      </c>
      <c r="L11" s="2"/>
      <c r="M11" s="96">
        <v>45926.0</v>
      </c>
      <c r="N11" s="97" t="s">
        <v>88</v>
      </c>
      <c r="O11" s="97" t="s">
        <v>55</v>
      </c>
      <c r="P11" s="114" t="s">
        <v>155</v>
      </c>
      <c r="Q11" s="99">
        <v>106.66</v>
      </c>
      <c r="R11" s="97" t="s">
        <v>17</v>
      </c>
      <c r="S11" s="2"/>
      <c r="T11" s="41"/>
      <c r="U11" s="37"/>
      <c r="V11" s="38"/>
      <c r="W11" s="42"/>
      <c r="X11" s="46"/>
      <c r="Y11" s="43"/>
      <c r="Z11" s="38"/>
      <c r="AA11" s="112"/>
      <c r="AB11" s="113"/>
      <c r="AC11" s="113"/>
      <c r="AD11" s="113"/>
    </row>
    <row r="12">
      <c r="A12" s="4"/>
      <c r="B12" s="36"/>
      <c r="C12" s="37" t="s">
        <v>35</v>
      </c>
      <c r="D12" s="38">
        <v>2240.0</v>
      </c>
      <c r="E12" s="37"/>
      <c r="F12" s="9"/>
      <c r="G12" s="39"/>
      <c r="H12" s="37" t="s">
        <v>42</v>
      </c>
      <c r="I12" s="37" t="s">
        <v>43</v>
      </c>
      <c r="J12" s="38">
        <v>282.4</v>
      </c>
      <c r="K12" s="37" t="s">
        <v>44</v>
      </c>
      <c r="L12" s="2"/>
      <c r="M12" s="96">
        <v>45926.0</v>
      </c>
      <c r="N12" s="97" t="s">
        <v>88</v>
      </c>
      <c r="O12" s="97" t="s">
        <v>55</v>
      </c>
      <c r="P12" s="114" t="s">
        <v>155</v>
      </c>
      <c r="Q12" s="99">
        <v>106.66</v>
      </c>
      <c r="R12" s="97" t="s">
        <v>17</v>
      </c>
      <c r="S12" s="2"/>
      <c r="T12" s="41"/>
      <c r="U12" s="37"/>
      <c r="V12" s="38"/>
      <c r="W12" s="42"/>
      <c r="X12" s="47"/>
      <c r="Y12" s="48"/>
      <c r="Z12" s="38"/>
      <c r="AA12" s="112"/>
      <c r="AB12" s="113"/>
      <c r="AC12" s="113"/>
      <c r="AD12" s="113"/>
    </row>
    <row r="13">
      <c r="A13" s="4"/>
      <c r="B13" s="36"/>
      <c r="C13" s="37"/>
      <c r="D13" s="38"/>
      <c r="E13" s="37"/>
      <c r="F13" s="9"/>
      <c r="G13" s="39">
        <v>45995.0</v>
      </c>
      <c r="H13" s="37" t="s">
        <v>36</v>
      </c>
      <c r="I13" s="37" t="s">
        <v>37</v>
      </c>
      <c r="J13" s="38">
        <v>15.95</v>
      </c>
      <c r="K13" s="37" t="s">
        <v>38</v>
      </c>
      <c r="L13" s="2"/>
      <c r="M13" s="96">
        <v>45946.0</v>
      </c>
      <c r="N13" s="97" t="s">
        <v>139</v>
      </c>
      <c r="O13" s="97" t="s">
        <v>133</v>
      </c>
      <c r="P13" s="114" t="s">
        <v>235</v>
      </c>
      <c r="Q13" s="99">
        <v>99.82</v>
      </c>
      <c r="R13" s="97" t="s">
        <v>17</v>
      </c>
      <c r="S13" s="2"/>
      <c r="T13" s="142"/>
      <c r="U13" s="142"/>
      <c r="V13" s="42"/>
      <c r="W13" s="42"/>
      <c r="X13" s="42"/>
      <c r="Y13" s="48"/>
      <c r="Z13" s="42"/>
      <c r="AA13" s="119"/>
      <c r="AB13" s="120"/>
      <c r="AC13" s="120"/>
      <c r="AD13" s="120"/>
    </row>
    <row r="14">
      <c r="A14" s="4"/>
      <c r="B14" s="36"/>
      <c r="C14" s="37"/>
      <c r="D14" s="38"/>
      <c r="E14" s="37"/>
      <c r="F14" s="9"/>
      <c r="G14" s="39"/>
      <c r="H14" s="37" t="s">
        <v>161</v>
      </c>
      <c r="I14" s="37" t="s">
        <v>43</v>
      </c>
      <c r="J14" s="38"/>
      <c r="K14" s="37" t="s">
        <v>44</v>
      </c>
      <c r="L14" s="2"/>
      <c r="M14" s="59">
        <v>45952.0</v>
      </c>
      <c r="N14" s="60" t="s">
        <v>175</v>
      </c>
      <c r="O14" s="60" t="s">
        <v>59</v>
      </c>
      <c r="P14" s="114" t="s">
        <v>236</v>
      </c>
      <c r="Q14" s="62">
        <v>133.22</v>
      </c>
      <c r="R14" s="60" t="s">
        <v>17</v>
      </c>
      <c r="S14" s="2"/>
      <c r="T14" s="142"/>
      <c r="U14" s="142"/>
      <c r="V14" s="42"/>
      <c r="W14" s="42"/>
      <c r="X14" s="42"/>
      <c r="Y14" s="48"/>
      <c r="Z14" s="42"/>
      <c r="AA14" s="119"/>
      <c r="AB14" s="120"/>
      <c r="AC14" s="120"/>
      <c r="AD14" s="120"/>
    </row>
    <row r="15">
      <c r="A15" s="4"/>
      <c r="B15" s="36"/>
      <c r="C15" s="37"/>
      <c r="D15" s="38"/>
      <c r="E15" s="37"/>
      <c r="F15" s="9"/>
      <c r="G15" s="41">
        <v>46002.0</v>
      </c>
      <c r="H15" s="37" t="s">
        <v>57</v>
      </c>
      <c r="I15" s="37" t="s">
        <v>16</v>
      </c>
      <c r="J15" s="38">
        <v>34.9</v>
      </c>
      <c r="K15" s="37" t="s">
        <v>21</v>
      </c>
      <c r="L15" s="2"/>
      <c r="M15" s="59">
        <v>45952.0</v>
      </c>
      <c r="N15" s="60" t="s">
        <v>172</v>
      </c>
      <c r="O15" s="60" t="s">
        <v>27</v>
      </c>
      <c r="P15" s="114" t="s">
        <v>159</v>
      </c>
      <c r="Q15" s="62">
        <v>58.52</v>
      </c>
      <c r="R15" s="60" t="s">
        <v>17</v>
      </c>
      <c r="S15" s="2"/>
      <c r="T15" s="142"/>
      <c r="U15" s="142"/>
      <c r="V15" s="42"/>
      <c r="W15" s="42"/>
      <c r="X15" s="42"/>
      <c r="Y15" s="48"/>
      <c r="Z15" s="42"/>
      <c r="AA15" s="119"/>
      <c r="AB15" s="120"/>
      <c r="AC15" s="120"/>
      <c r="AD15" s="120"/>
    </row>
    <row r="16">
      <c r="A16" s="4"/>
      <c r="B16" s="36"/>
      <c r="C16" s="37"/>
      <c r="D16" s="38"/>
      <c r="E16" s="37"/>
      <c r="F16" s="9"/>
      <c r="G16" s="39">
        <v>46008.0</v>
      </c>
      <c r="H16" s="37" t="s">
        <v>49</v>
      </c>
      <c r="I16" s="37" t="s">
        <v>50</v>
      </c>
      <c r="J16" s="38">
        <v>148.92</v>
      </c>
      <c r="K16" s="37" t="s">
        <v>17</v>
      </c>
      <c r="L16" s="2"/>
      <c r="M16" s="96">
        <v>45971.0</v>
      </c>
      <c r="N16" s="141" t="s">
        <v>209</v>
      </c>
      <c r="O16" s="141" t="s">
        <v>55</v>
      </c>
      <c r="P16" s="114" t="s">
        <v>162</v>
      </c>
      <c r="Q16" s="99">
        <v>77.93</v>
      </c>
      <c r="R16" s="141" t="s">
        <v>17</v>
      </c>
      <c r="S16" s="2"/>
      <c r="T16" s="142"/>
      <c r="U16" s="142"/>
      <c r="V16" s="42"/>
      <c r="W16" s="42"/>
      <c r="X16" s="42"/>
      <c r="Y16" s="48"/>
      <c r="Z16" s="42"/>
      <c r="AA16" s="119"/>
      <c r="AB16" s="120"/>
      <c r="AC16" s="120"/>
      <c r="AD16" s="120"/>
    </row>
    <row r="17">
      <c r="A17" s="4"/>
      <c r="B17" s="36"/>
      <c r="C17" s="37"/>
      <c r="D17" s="38"/>
      <c r="E17" s="37"/>
      <c r="F17" s="9"/>
      <c r="G17" s="41">
        <v>46003.0</v>
      </c>
      <c r="H17" s="37" t="s">
        <v>53</v>
      </c>
      <c r="I17" s="37" t="s">
        <v>19</v>
      </c>
      <c r="J17" s="38">
        <v>69.9</v>
      </c>
      <c r="K17" s="37" t="s">
        <v>17</v>
      </c>
      <c r="L17" s="2"/>
      <c r="M17" s="96">
        <v>45972.0</v>
      </c>
      <c r="N17" s="141" t="s">
        <v>211</v>
      </c>
      <c r="O17" s="141" t="s">
        <v>55</v>
      </c>
      <c r="P17" s="114" t="s">
        <v>162</v>
      </c>
      <c r="Q17" s="99">
        <v>151.09</v>
      </c>
      <c r="R17" s="141" t="s">
        <v>17</v>
      </c>
      <c r="S17" s="2"/>
      <c r="T17" s="142"/>
      <c r="U17" s="142"/>
      <c r="V17" s="42"/>
      <c r="W17" s="42"/>
      <c r="X17" s="42"/>
      <c r="Y17" s="48"/>
      <c r="Z17" s="42"/>
      <c r="AA17" s="119"/>
      <c r="AB17" s="120"/>
      <c r="AC17" s="120"/>
      <c r="AD17" s="120"/>
    </row>
    <row r="18">
      <c r="A18" s="4"/>
      <c r="B18" s="36"/>
      <c r="C18" s="37"/>
      <c r="D18" s="38"/>
      <c r="E18" s="37"/>
      <c r="F18" s="9"/>
      <c r="G18" s="41">
        <v>46005.0</v>
      </c>
      <c r="H18" s="37" t="s">
        <v>61</v>
      </c>
      <c r="I18" s="37" t="s">
        <v>27</v>
      </c>
      <c r="J18" s="38">
        <v>139.9</v>
      </c>
      <c r="K18" s="37" t="s">
        <v>17</v>
      </c>
      <c r="L18" s="2"/>
      <c r="M18" s="59">
        <v>45978.0</v>
      </c>
      <c r="N18" s="60" t="s">
        <v>223</v>
      </c>
      <c r="O18" s="60" t="s">
        <v>27</v>
      </c>
      <c r="P18" s="114" t="s">
        <v>159</v>
      </c>
      <c r="Q18" s="62">
        <v>118.41</v>
      </c>
      <c r="R18" s="60" t="s">
        <v>17</v>
      </c>
      <c r="S18" s="2"/>
      <c r="T18" s="142"/>
      <c r="U18" s="142"/>
      <c r="V18" s="42"/>
      <c r="W18" s="42"/>
      <c r="X18" s="42"/>
      <c r="Y18" s="48"/>
      <c r="Z18" s="42"/>
      <c r="AA18" s="119"/>
      <c r="AB18" s="120"/>
      <c r="AC18" s="120"/>
      <c r="AD18" s="120"/>
    </row>
    <row r="19">
      <c r="A19" s="4"/>
      <c r="B19" s="63"/>
      <c r="C19" s="37"/>
      <c r="D19" s="38"/>
      <c r="E19" s="64"/>
      <c r="F19" s="9"/>
      <c r="G19" s="124">
        <v>46009.0</v>
      </c>
      <c r="H19" s="37" t="s">
        <v>68</v>
      </c>
      <c r="I19" s="37" t="s">
        <v>31</v>
      </c>
      <c r="J19" s="38">
        <v>14.99</v>
      </c>
      <c r="K19" s="37" t="s">
        <v>17</v>
      </c>
      <c r="L19" s="2"/>
      <c r="M19" s="59">
        <v>45980.0</v>
      </c>
      <c r="N19" s="60" t="s">
        <v>200</v>
      </c>
      <c r="O19" s="60" t="s">
        <v>70</v>
      </c>
      <c r="P19" s="114" t="s">
        <v>23</v>
      </c>
      <c r="Q19" s="62">
        <v>9.9</v>
      </c>
      <c r="R19" s="60" t="s">
        <v>17</v>
      </c>
      <c r="S19" s="2"/>
      <c r="T19" s="142"/>
      <c r="U19" s="142"/>
      <c r="V19" s="42"/>
      <c r="W19" s="42"/>
      <c r="X19" s="42"/>
      <c r="Y19" s="48"/>
      <c r="Z19" s="42"/>
      <c r="AA19" s="119"/>
      <c r="AB19" s="120"/>
      <c r="AC19" s="120"/>
      <c r="AD19" s="120"/>
    </row>
    <row r="20">
      <c r="A20" s="66"/>
      <c r="B20" s="25"/>
      <c r="C20" s="25" t="s">
        <v>47</v>
      </c>
      <c r="D20" s="67">
        <f>SUM(D9:D19)</f>
        <v>8976.66</v>
      </c>
      <c r="E20" s="25"/>
      <c r="F20" s="9"/>
      <c r="G20" s="124">
        <v>45994.0</v>
      </c>
      <c r="H20" s="37" t="s">
        <v>161</v>
      </c>
      <c r="I20" s="37" t="s">
        <v>43</v>
      </c>
      <c r="J20" s="38">
        <v>108.65</v>
      </c>
      <c r="K20" s="37" t="s">
        <v>44</v>
      </c>
      <c r="L20" s="2"/>
      <c r="M20" s="59">
        <v>45980.0</v>
      </c>
      <c r="N20" s="60" t="s">
        <v>208</v>
      </c>
      <c r="O20" s="60" t="s">
        <v>81</v>
      </c>
      <c r="P20" s="114" t="s">
        <v>23</v>
      </c>
      <c r="Q20" s="62">
        <v>32.98</v>
      </c>
      <c r="R20" s="60" t="s">
        <v>17</v>
      </c>
      <c r="S20" s="3"/>
      <c r="T20" s="142"/>
      <c r="U20" s="142"/>
      <c r="V20" s="42"/>
      <c r="W20" s="42"/>
      <c r="X20" s="42"/>
      <c r="Y20" s="48"/>
      <c r="Z20" s="42"/>
      <c r="AA20" s="119"/>
      <c r="AB20" s="120"/>
      <c r="AC20" s="120"/>
      <c r="AD20" s="120"/>
    </row>
    <row r="21">
      <c r="A21" s="66"/>
      <c r="B21" s="71"/>
      <c r="C21" s="71" t="s">
        <v>72</v>
      </c>
      <c r="D21" s="72"/>
      <c r="E21" s="73">
        <f>D21/D20</f>
        <v>0</v>
      </c>
      <c r="F21" s="9"/>
      <c r="G21" s="143"/>
      <c r="H21" s="142"/>
      <c r="I21" s="142"/>
      <c r="J21" s="42"/>
      <c r="K21" s="142"/>
      <c r="L21" s="2"/>
      <c r="M21" s="59">
        <v>45981.0</v>
      </c>
      <c r="N21" s="60" t="s">
        <v>237</v>
      </c>
      <c r="O21" s="60" t="s">
        <v>70</v>
      </c>
      <c r="P21" s="114" t="s">
        <v>23</v>
      </c>
      <c r="Q21" s="62">
        <v>12.2</v>
      </c>
      <c r="R21" s="60" t="s">
        <v>17</v>
      </c>
      <c r="S21" s="3"/>
      <c r="T21" s="142"/>
      <c r="U21" s="142"/>
      <c r="V21" s="42"/>
      <c r="W21" s="42"/>
      <c r="X21" s="42"/>
      <c r="Y21" s="48"/>
      <c r="Z21" s="42"/>
      <c r="AA21" s="119"/>
      <c r="AB21" s="120"/>
      <c r="AC21" s="120"/>
      <c r="AD21" s="120"/>
    </row>
    <row r="22">
      <c r="A22" s="66"/>
      <c r="B22" s="74"/>
      <c r="C22" s="75"/>
      <c r="D22" s="76"/>
      <c r="E22" s="15"/>
      <c r="F22" s="9"/>
      <c r="G22" s="143"/>
      <c r="H22" s="142"/>
      <c r="I22" s="142"/>
      <c r="J22" s="42"/>
      <c r="K22" s="142"/>
      <c r="L22" s="2"/>
      <c r="M22" s="59">
        <v>45981.0</v>
      </c>
      <c r="N22" s="60" t="s">
        <v>238</v>
      </c>
      <c r="O22" s="60" t="s">
        <v>66</v>
      </c>
      <c r="P22" s="60" t="s">
        <v>23</v>
      </c>
      <c r="Q22" s="62">
        <v>73.25</v>
      </c>
      <c r="R22" s="60" t="s">
        <v>17</v>
      </c>
      <c r="S22" s="3"/>
      <c r="T22" s="142"/>
      <c r="U22" s="142"/>
      <c r="V22" s="42"/>
      <c r="W22" s="42"/>
      <c r="X22" s="42"/>
      <c r="Y22" s="48"/>
      <c r="Z22" s="42"/>
      <c r="AA22" s="119"/>
      <c r="AB22" s="120"/>
      <c r="AC22" s="120"/>
      <c r="AD22" s="120"/>
    </row>
    <row r="23">
      <c r="A23" s="66"/>
      <c r="B23" s="24"/>
      <c r="C23" s="35"/>
      <c r="D23" s="77"/>
      <c r="E23" s="2"/>
      <c r="F23" s="9"/>
      <c r="G23" s="143"/>
      <c r="H23" s="142"/>
      <c r="I23" s="142"/>
      <c r="J23" s="42"/>
      <c r="K23" s="142"/>
      <c r="L23" s="2"/>
      <c r="M23" s="59">
        <v>45981.0</v>
      </c>
      <c r="N23" s="60" t="s">
        <v>239</v>
      </c>
      <c r="O23" s="60" t="s">
        <v>70</v>
      </c>
      <c r="P23" s="60" t="s">
        <v>23</v>
      </c>
      <c r="Q23" s="62">
        <v>25.96</v>
      </c>
      <c r="R23" s="60" t="s">
        <v>17</v>
      </c>
      <c r="S23" s="3"/>
      <c r="T23" s="142"/>
      <c r="U23" s="142"/>
      <c r="V23" s="42"/>
      <c r="W23" s="42"/>
      <c r="X23" s="42"/>
      <c r="Y23" s="48"/>
      <c r="Z23" s="42"/>
      <c r="AA23" s="119"/>
      <c r="AB23" s="120"/>
      <c r="AC23" s="120"/>
      <c r="AD23" s="120"/>
    </row>
    <row r="24">
      <c r="A24" s="66"/>
      <c r="B24" s="24"/>
      <c r="C24" s="35"/>
      <c r="D24" s="77"/>
      <c r="E24" s="2"/>
      <c r="F24" s="9"/>
      <c r="G24" s="143"/>
      <c r="H24" s="142"/>
      <c r="I24" s="142"/>
      <c r="J24" s="42"/>
      <c r="K24" s="142"/>
      <c r="L24" s="2"/>
      <c r="M24" s="59">
        <v>45982.0</v>
      </c>
      <c r="N24" s="60" t="s">
        <v>239</v>
      </c>
      <c r="O24" s="60" t="s">
        <v>70</v>
      </c>
      <c r="P24" s="60" t="s">
        <v>23</v>
      </c>
      <c r="Q24" s="62">
        <v>41.99</v>
      </c>
      <c r="R24" s="60" t="s">
        <v>17</v>
      </c>
      <c r="S24" s="3"/>
      <c r="T24" s="142"/>
      <c r="U24" s="142"/>
      <c r="V24" s="42"/>
      <c r="W24" s="42"/>
      <c r="X24" s="42"/>
      <c r="Y24" s="48"/>
      <c r="Z24" s="42"/>
      <c r="AA24" s="119"/>
      <c r="AB24" s="120"/>
      <c r="AC24" s="120"/>
      <c r="AD24" s="120"/>
    </row>
    <row r="25">
      <c r="A25" s="66"/>
      <c r="B25" s="24"/>
      <c r="C25" s="35"/>
      <c r="D25" s="77"/>
      <c r="E25" s="2"/>
      <c r="F25" s="9"/>
      <c r="G25" s="143"/>
      <c r="H25" s="142"/>
      <c r="I25" s="142"/>
      <c r="J25" s="42"/>
      <c r="K25" s="142"/>
      <c r="L25" s="2"/>
      <c r="M25" s="59">
        <v>45982.0</v>
      </c>
      <c r="N25" s="60" t="s">
        <v>240</v>
      </c>
      <c r="O25" s="60" t="s">
        <v>81</v>
      </c>
      <c r="P25" s="60" t="s">
        <v>23</v>
      </c>
      <c r="Q25" s="62">
        <v>8.0</v>
      </c>
      <c r="R25" s="60" t="s">
        <v>17</v>
      </c>
      <c r="S25" s="3"/>
      <c r="T25" s="142"/>
      <c r="U25" s="142"/>
      <c r="V25" s="42"/>
      <c r="W25" s="42"/>
      <c r="X25" s="42"/>
      <c r="Y25" s="48"/>
      <c r="Z25" s="42"/>
      <c r="AA25" s="119"/>
      <c r="AB25" s="120"/>
      <c r="AC25" s="120"/>
      <c r="AD25" s="120"/>
    </row>
    <row r="26">
      <c r="A26" s="66"/>
      <c r="B26" s="24"/>
      <c r="C26" s="35"/>
      <c r="D26" s="77"/>
      <c r="E26" s="2"/>
      <c r="F26" s="9"/>
      <c r="G26" s="143"/>
      <c r="H26" s="142"/>
      <c r="I26" s="142"/>
      <c r="J26" s="42"/>
      <c r="K26" s="142"/>
      <c r="L26" s="2"/>
      <c r="M26" s="59">
        <v>45982.0</v>
      </c>
      <c r="N26" s="60" t="s">
        <v>241</v>
      </c>
      <c r="O26" s="60" t="s">
        <v>70</v>
      </c>
      <c r="P26" s="60" t="s">
        <v>23</v>
      </c>
      <c r="Q26" s="62">
        <v>13.8</v>
      </c>
      <c r="R26" s="60" t="s">
        <v>17</v>
      </c>
      <c r="S26" s="3"/>
      <c r="T26" s="142"/>
      <c r="U26" s="142"/>
      <c r="V26" s="42"/>
      <c r="W26" s="42"/>
      <c r="X26" s="42"/>
      <c r="Y26" s="48"/>
      <c r="Z26" s="42"/>
      <c r="AA26" s="119"/>
      <c r="AB26" s="120"/>
      <c r="AC26" s="120"/>
      <c r="AD26" s="120"/>
    </row>
    <row r="27">
      <c r="A27" s="66"/>
      <c r="B27" s="24"/>
      <c r="C27" s="35"/>
      <c r="D27" s="77"/>
      <c r="E27" s="2"/>
      <c r="F27" s="9"/>
      <c r="G27" s="143"/>
      <c r="H27" s="142"/>
      <c r="I27" s="142"/>
      <c r="J27" s="42"/>
      <c r="K27" s="142"/>
      <c r="L27" s="2"/>
      <c r="M27" s="59">
        <v>45982.0</v>
      </c>
      <c r="N27" s="60" t="s">
        <v>242</v>
      </c>
      <c r="O27" s="60" t="s">
        <v>46</v>
      </c>
      <c r="P27" s="60" t="s">
        <v>23</v>
      </c>
      <c r="Q27" s="62">
        <v>55.0</v>
      </c>
      <c r="R27" s="60" t="s">
        <v>17</v>
      </c>
      <c r="S27" s="3"/>
      <c r="T27" s="142"/>
      <c r="U27" s="142"/>
      <c r="V27" s="42"/>
      <c r="W27" s="42"/>
      <c r="X27" s="42"/>
      <c r="Y27" s="48"/>
      <c r="Z27" s="42"/>
      <c r="AA27" s="119"/>
      <c r="AB27" s="120"/>
      <c r="AC27" s="120"/>
      <c r="AD27" s="120"/>
    </row>
    <row r="28">
      <c r="A28" s="66"/>
      <c r="B28" s="24"/>
      <c r="C28" s="35"/>
      <c r="D28" s="77"/>
      <c r="E28" s="2"/>
      <c r="F28" s="9"/>
      <c r="G28" s="143"/>
      <c r="H28" s="142"/>
      <c r="I28" s="142"/>
      <c r="J28" s="42"/>
      <c r="K28" s="142"/>
      <c r="L28" s="2"/>
      <c r="M28" s="59">
        <v>45982.0</v>
      </c>
      <c r="N28" s="60" t="s">
        <v>243</v>
      </c>
      <c r="O28" s="60" t="s">
        <v>70</v>
      </c>
      <c r="P28" s="60" t="s">
        <v>23</v>
      </c>
      <c r="Q28" s="62">
        <v>26.8</v>
      </c>
      <c r="R28" s="60" t="s">
        <v>17</v>
      </c>
      <c r="S28" s="3"/>
      <c r="T28" s="142"/>
      <c r="U28" s="142"/>
      <c r="V28" s="42"/>
      <c r="W28" s="42"/>
      <c r="X28" s="42"/>
      <c r="Y28" s="48"/>
      <c r="Z28" s="42"/>
      <c r="AA28" s="119"/>
      <c r="AB28" s="120"/>
      <c r="AC28" s="120"/>
      <c r="AD28" s="120"/>
    </row>
    <row r="29">
      <c r="A29" s="66"/>
      <c r="B29" s="24"/>
      <c r="C29" s="35"/>
      <c r="D29" s="77"/>
      <c r="E29" s="2"/>
      <c r="F29" s="9"/>
      <c r="G29" s="143"/>
      <c r="H29" s="142"/>
      <c r="I29" s="142"/>
      <c r="J29" s="42"/>
      <c r="K29" s="142"/>
      <c r="L29" s="2"/>
      <c r="M29" s="59">
        <v>45982.0</v>
      </c>
      <c r="N29" s="60" t="s">
        <v>244</v>
      </c>
      <c r="O29" s="60" t="s">
        <v>70</v>
      </c>
      <c r="P29" s="60" t="s">
        <v>23</v>
      </c>
      <c r="Q29" s="62">
        <v>18.15</v>
      </c>
      <c r="R29" s="60" t="s">
        <v>17</v>
      </c>
      <c r="S29" s="3"/>
      <c r="T29" s="142"/>
      <c r="U29" s="142"/>
      <c r="V29" s="42"/>
      <c r="W29" s="42"/>
      <c r="X29" s="42"/>
      <c r="Y29" s="48"/>
      <c r="Z29" s="42"/>
      <c r="AA29" s="119"/>
      <c r="AB29" s="120"/>
      <c r="AC29" s="120"/>
      <c r="AD29" s="120"/>
    </row>
    <row r="30">
      <c r="A30" s="66"/>
      <c r="B30" s="24"/>
      <c r="C30" s="35"/>
      <c r="D30" s="77"/>
      <c r="E30" s="2"/>
      <c r="F30" s="9"/>
      <c r="G30" s="143"/>
      <c r="H30" s="142"/>
      <c r="I30" s="142"/>
      <c r="J30" s="42"/>
      <c r="K30" s="142"/>
      <c r="L30" s="2"/>
      <c r="M30" s="59">
        <v>45984.0</v>
      </c>
      <c r="N30" s="60" t="s">
        <v>32</v>
      </c>
      <c r="O30" s="60" t="s">
        <v>27</v>
      </c>
      <c r="P30" s="60" t="s">
        <v>23</v>
      </c>
      <c r="Q30" s="62">
        <v>25.28</v>
      </c>
      <c r="R30" s="60" t="s">
        <v>17</v>
      </c>
      <c r="S30" s="3"/>
      <c r="T30" s="142"/>
      <c r="U30" s="142"/>
      <c r="V30" s="42"/>
      <c r="W30" s="42"/>
      <c r="X30" s="42"/>
      <c r="Y30" s="48"/>
      <c r="Z30" s="42"/>
      <c r="AA30" s="119"/>
      <c r="AB30" s="120"/>
      <c r="AC30" s="120"/>
      <c r="AD30" s="120"/>
    </row>
    <row r="31">
      <c r="A31" s="66"/>
      <c r="B31" s="24"/>
      <c r="C31" s="35"/>
      <c r="D31" s="77"/>
      <c r="E31" s="2"/>
      <c r="F31" s="9"/>
      <c r="G31" s="143"/>
      <c r="H31" s="142"/>
      <c r="I31" s="142"/>
      <c r="J31" s="42"/>
      <c r="K31" s="142"/>
      <c r="L31" s="2"/>
      <c r="M31" s="59">
        <v>45985.0</v>
      </c>
      <c r="N31" s="60" t="s">
        <v>245</v>
      </c>
      <c r="O31" s="60" t="s">
        <v>59</v>
      </c>
      <c r="P31" s="60" t="s">
        <v>23</v>
      </c>
      <c r="Q31" s="62">
        <v>35.97</v>
      </c>
      <c r="R31" s="60" t="s">
        <v>17</v>
      </c>
      <c r="S31" s="3"/>
      <c r="T31" s="142"/>
      <c r="U31" s="142"/>
      <c r="V31" s="42"/>
      <c r="W31" s="42"/>
      <c r="X31" s="42"/>
      <c r="Y31" s="48"/>
      <c r="Z31" s="42"/>
      <c r="AA31" s="119"/>
      <c r="AB31" s="120"/>
      <c r="AC31" s="120"/>
      <c r="AD31" s="120"/>
    </row>
    <row r="32">
      <c r="A32" s="66"/>
      <c r="B32" s="24"/>
      <c r="C32" s="35"/>
      <c r="D32" s="77"/>
      <c r="E32" s="2"/>
      <c r="F32" s="9"/>
      <c r="G32" s="143"/>
      <c r="H32" s="142"/>
      <c r="I32" s="142"/>
      <c r="J32" s="42"/>
      <c r="K32" s="142"/>
      <c r="L32" s="2"/>
      <c r="M32" s="59">
        <v>45985.0</v>
      </c>
      <c r="N32" s="60" t="s">
        <v>200</v>
      </c>
      <c r="O32" s="60" t="s">
        <v>70</v>
      </c>
      <c r="P32" s="60" t="s">
        <v>23</v>
      </c>
      <c r="Q32" s="62">
        <v>19.6</v>
      </c>
      <c r="R32" s="60" t="s">
        <v>17</v>
      </c>
      <c r="S32" s="3"/>
      <c r="T32" s="142"/>
      <c r="U32" s="142"/>
      <c r="V32" s="42"/>
      <c r="W32" s="42"/>
      <c r="X32" s="42"/>
      <c r="Y32" s="48"/>
      <c r="Z32" s="42"/>
      <c r="AA32" s="119"/>
      <c r="AB32" s="120"/>
      <c r="AC32" s="120"/>
      <c r="AD32" s="120"/>
    </row>
    <row r="33">
      <c r="A33" s="66"/>
      <c r="B33" s="24"/>
      <c r="C33" s="35"/>
      <c r="D33" s="77"/>
      <c r="E33" s="2"/>
      <c r="F33" s="9"/>
      <c r="G33" s="143"/>
      <c r="H33" s="142"/>
      <c r="I33" s="142"/>
      <c r="J33" s="42"/>
      <c r="K33" s="142"/>
      <c r="L33" s="2"/>
      <c r="M33" s="61">
        <v>45985.0</v>
      </c>
      <c r="N33" s="60" t="s">
        <v>246</v>
      </c>
      <c r="O33" s="60" t="s">
        <v>27</v>
      </c>
      <c r="P33" s="61">
        <v>45689.0</v>
      </c>
      <c r="Q33" s="62">
        <v>75.0</v>
      </c>
      <c r="R33" s="60" t="s">
        <v>17</v>
      </c>
      <c r="S33" s="3"/>
      <c r="T33" s="142"/>
      <c r="U33" s="142"/>
      <c r="V33" s="42"/>
      <c r="W33" s="42"/>
      <c r="X33" s="42"/>
      <c r="Y33" s="48"/>
      <c r="Z33" s="42"/>
      <c r="AA33" s="119"/>
      <c r="AB33" s="120"/>
      <c r="AC33" s="120"/>
      <c r="AD33" s="120"/>
    </row>
    <row r="34">
      <c r="A34" s="66"/>
      <c r="B34" s="24"/>
      <c r="C34" s="35"/>
      <c r="D34" s="77"/>
      <c r="E34" s="2"/>
      <c r="F34" s="9"/>
      <c r="G34" s="143"/>
      <c r="H34" s="142"/>
      <c r="I34" s="142"/>
      <c r="J34" s="42"/>
      <c r="K34" s="142"/>
      <c r="L34" s="2"/>
      <c r="M34" s="59">
        <v>45985.0</v>
      </c>
      <c r="N34" s="60" t="s">
        <v>247</v>
      </c>
      <c r="O34" s="60" t="s">
        <v>16</v>
      </c>
      <c r="P34" s="61">
        <v>45689.0</v>
      </c>
      <c r="Q34" s="62">
        <v>75.0</v>
      </c>
      <c r="R34" s="60" t="s">
        <v>17</v>
      </c>
      <c r="S34" s="3"/>
      <c r="T34" s="142"/>
      <c r="U34" s="142"/>
      <c r="V34" s="42"/>
      <c r="W34" s="42"/>
      <c r="X34" s="42"/>
      <c r="Y34" s="48"/>
      <c r="Z34" s="42"/>
      <c r="AA34" s="119"/>
      <c r="AB34" s="120"/>
      <c r="AC34" s="120"/>
      <c r="AD34" s="120"/>
    </row>
    <row r="35">
      <c r="A35" s="66"/>
      <c r="B35" s="24"/>
      <c r="C35" s="35"/>
      <c r="D35" s="77"/>
      <c r="E35" s="2"/>
      <c r="F35" s="9"/>
      <c r="G35" s="143"/>
      <c r="H35" s="142"/>
      <c r="I35" s="142"/>
      <c r="J35" s="42"/>
      <c r="K35" s="142"/>
      <c r="L35" s="2"/>
      <c r="M35" s="59">
        <v>45985.0</v>
      </c>
      <c r="N35" s="60" t="s">
        <v>248</v>
      </c>
      <c r="O35" s="60" t="s">
        <v>19</v>
      </c>
      <c r="P35" s="61">
        <v>45992.0</v>
      </c>
      <c r="Q35" s="62">
        <v>1035.39</v>
      </c>
      <c r="R35" s="60" t="s">
        <v>17</v>
      </c>
      <c r="S35" s="3"/>
      <c r="T35" s="142"/>
      <c r="U35" s="142"/>
      <c r="V35" s="42"/>
      <c r="W35" s="42"/>
      <c r="X35" s="42"/>
      <c r="Y35" s="48"/>
      <c r="Z35" s="42"/>
      <c r="AA35" s="119"/>
      <c r="AB35" s="120"/>
      <c r="AC35" s="120"/>
      <c r="AD35" s="120"/>
    </row>
    <row r="36">
      <c r="A36" s="66"/>
      <c r="B36" s="24"/>
      <c r="C36" s="35"/>
      <c r="D36" s="77"/>
      <c r="E36" s="2"/>
      <c r="F36" s="9"/>
      <c r="G36" s="143"/>
      <c r="H36" s="142"/>
      <c r="I36" s="142"/>
      <c r="J36" s="42"/>
      <c r="K36" s="142"/>
      <c r="L36" s="2"/>
      <c r="M36" s="59">
        <v>45986.0</v>
      </c>
      <c r="N36" s="60" t="s">
        <v>99</v>
      </c>
      <c r="O36" s="60" t="s">
        <v>81</v>
      </c>
      <c r="P36" s="60" t="s">
        <v>23</v>
      </c>
      <c r="Q36" s="62">
        <v>40.55</v>
      </c>
      <c r="R36" s="60" t="s">
        <v>17</v>
      </c>
      <c r="S36" s="3"/>
      <c r="T36" s="142"/>
      <c r="U36" s="142"/>
      <c r="V36" s="42"/>
      <c r="W36" s="42"/>
      <c r="X36" s="42"/>
      <c r="Y36" s="48"/>
      <c r="Z36" s="42"/>
      <c r="AA36" s="119"/>
      <c r="AB36" s="120"/>
      <c r="AC36" s="120"/>
      <c r="AD36" s="120"/>
    </row>
    <row r="37">
      <c r="A37" s="66"/>
      <c r="B37" s="24"/>
      <c r="C37" s="35"/>
      <c r="D37" s="77"/>
      <c r="E37" s="2"/>
      <c r="F37" s="9"/>
      <c r="G37" s="143"/>
      <c r="H37" s="142"/>
      <c r="I37" s="142"/>
      <c r="J37" s="42"/>
      <c r="K37" s="142"/>
      <c r="L37" s="2"/>
      <c r="M37" s="59">
        <v>45986.0</v>
      </c>
      <c r="N37" s="60" t="s">
        <v>249</v>
      </c>
      <c r="O37" s="60" t="s">
        <v>50</v>
      </c>
      <c r="P37" s="60" t="s">
        <v>23</v>
      </c>
      <c r="Q37" s="62">
        <v>67.73</v>
      </c>
      <c r="R37" s="60" t="s">
        <v>17</v>
      </c>
      <c r="S37" s="3"/>
      <c r="T37" s="142"/>
      <c r="U37" s="142"/>
      <c r="V37" s="42"/>
      <c r="W37" s="42"/>
      <c r="X37" s="42"/>
      <c r="Y37" s="48"/>
      <c r="Z37" s="42"/>
      <c r="AA37" s="119"/>
      <c r="AB37" s="120"/>
      <c r="AC37" s="120"/>
      <c r="AD37" s="120"/>
    </row>
    <row r="38">
      <c r="A38" s="66"/>
      <c r="B38" s="24"/>
      <c r="C38" s="35"/>
      <c r="D38" s="77"/>
      <c r="E38" s="2"/>
      <c r="F38" s="9"/>
      <c r="G38" s="143"/>
      <c r="H38" s="142"/>
      <c r="I38" s="142"/>
      <c r="J38" s="42"/>
      <c r="K38" s="142"/>
      <c r="L38" s="2"/>
      <c r="M38" s="59">
        <v>45986.0</v>
      </c>
      <c r="N38" s="60" t="s">
        <v>250</v>
      </c>
      <c r="O38" s="60" t="s">
        <v>70</v>
      </c>
      <c r="P38" s="60" t="s">
        <v>23</v>
      </c>
      <c r="Q38" s="62">
        <v>13.3</v>
      </c>
      <c r="R38" s="60" t="s">
        <v>17</v>
      </c>
      <c r="S38" s="3"/>
      <c r="T38" s="142"/>
      <c r="U38" s="142"/>
      <c r="V38" s="42"/>
      <c r="W38" s="42"/>
      <c r="X38" s="42"/>
      <c r="Y38" s="48"/>
      <c r="Z38" s="42"/>
      <c r="AA38" s="119"/>
      <c r="AB38" s="120"/>
      <c r="AC38" s="120"/>
      <c r="AD38" s="120"/>
    </row>
    <row r="39">
      <c r="A39" s="66"/>
      <c r="B39" s="24"/>
      <c r="C39" s="35"/>
      <c r="D39" s="77"/>
      <c r="E39" s="2"/>
      <c r="F39" s="9"/>
      <c r="G39" s="143"/>
      <c r="H39" s="142"/>
      <c r="I39" s="142"/>
      <c r="J39" s="42"/>
      <c r="K39" s="142"/>
      <c r="L39" s="2"/>
      <c r="M39" s="59">
        <v>45986.0</v>
      </c>
      <c r="N39" s="60" t="s">
        <v>251</v>
      </c>
      <c r="O39" s="60" t="s">
        <v>70</v>
      </c>
      <c r="P39" s="60" t="s">
        <v>23</v>
      </c>
      <c r="Q39" s="62">
        <v>32.2</v>
      </c>
      <c r="R39" s="60" t="s">
        <v>17</v>
      </c>
      <c r="S39" s="3"/>
      <c r="T39" s="142"/>
      <c r="U39" s="142"/>
      <c r="V39" s="42"/>
      <c r="W39" s="42"/>
      <c r="X39" s="42"/>
      <c r="Y39" s="48"/>
      <c r="Z39" s="42"/>
      <c r="AA39" s="119"/>
      <c r="AB39" s="120"/>
      <c r="AC39" s="120"/>
      <c r="AD39" s="120"/>
    </row>
    <row r="40">
      <c r="A40" s="66"/>
      <c r="B40" s="24"/>
      <c r="C40" s="35"/>
      <c r="D40" s="77"/>
      <c r="E40" s="2"/>
      <c r="F40" s="9"/>
      <c r="G40" s="143"/>
      <c r="H40" s="142"/>
      <c r="I40" s="142"/>
      <c r="J40" s="42"/>
      <c r="K40" s="142"/>
      <c r="L40" s="2"/>
      <c r="M40" s="59">
        <v>45986.0</v>
      </c>
      <c r="N40" s="60" t="s">
        <v>252</v>
      </c>
      <c r="O40" s="60" t="s">
        <v>16</v>
      </c>
      <c r="P40" s="61">
        <v>45992.0</v>
      </c>
      <c r="Q40" s="62">
        <v>91.74</v>
      </c>
      <c r="R40" s="60" t="s">
        <v>17</v>
      </c>
      <c r="S40" s="3"/>
      <c r="T40" s="142"/>
      <c r="U40" s="142"/>
      <c r="V40" s="42"/>
      <c r="W40" s="42"/>
      <c r="X40" s="42"/>
      <c r="Y40" s="48"/>
      <c r="Z40" s="42"/>
      <c r="AA40" s="119"/>
      <c r="AB40" s="120"/>
      <c r="AC40" s="120"/>
      <c r="AD40" s="120"/>
    </row>
    <row r="41">
      <c r="A41" s="66"/>
      <c r="B41" s="24"/>
      <c r="C41" s="35"/>
      <c r="D41" s="77"/>
      <c r="E41" s="2"/>
      <c r="F41" s="9"/>
      <c r="G41" s="143"/>
      <c r="H41" s="142"/>
      <c r="I41" s="142"/>
      <c r="J41" s="42"/>
      <c r="K41" s="142"/>
      <c r="L41" s="2"/>
      <c r="M41" s="40">
        <v>45987.0</v>
      </c>
      <c r="N41" s="37" t="s">
        <v>136</v>
      </c>
      <c r="O41" s="37" t="s">
        <v>70</v>
      </c>
      <c r="P41" s="38" t="s">
        <v>23</v>
      </c>
      <c r="Q41" s="38">
        <v>22.2</v>
      </c>
      <c r="R41" s="37" t="s">
        <v>17</v>
      </c>
      <c r="S41" s="3"/>
      <c r="T41" s="142"/>
      <c r="U41" s="142"/>
      <c r="V41" s="42"/>
      <c r="W41" s="42"/>
      <c r="X41" s="42"/>
      <c r="Y41" s="48"/>
      <c r="Z41" s="42"/>
      <c r="AA41" s="119"/>
      <c r="AB41" s="120"/>
      <c r="AC41" s="120"/>
      <c r="AD41" s="120"/>
    </row>
    <row r="42">
      <c r="A42" s="66"/>
      <c r="B42" s="24"/>
      <c r="C42" s="35"/>
      <c r="D42" s="77"/>
      <c r="E42" s="2"/>
      <c r="F42" s="9"/>
      <c r="G42" s="143"/>
      <c r="H42" s="142"/>
      <c r="I42" s="142"/>
      <c r="J42" s="42"/>
      <c r="K42" s="142"/>
      <c r="L42" s="2"/>
      <c r="M42" s="59">
        <v>45988.0</v>
      </c>
      <c r="N42" s="60" t="s">
        <v>176</v>
      </c>
      <c r="O42" s="60" t="s">
        <v>81</v>
      </c>
      <c r="P42" s="60" t="s">
        <v>23</v>
      </c>
      <c r="Q42" s="62">
        <v>3.5</v>
      </c>
      <c r="R42" s="60" t="s">
        <v>17</v>
      </c>
      <c r="S42" s="3"/>
      <c r="T42" s="142"/>
      <c r="U42" s="142"/>
      <c r="V42" s="42"/>
      <c r="W42" s="42"/>
      <c r="X42" s="42"/>
      <c r="Y42" s="48"/>
      <c r="Z42" s="42"/>
      <c r="AA42" s="119"/>
      <c r="AB42" s="120"/>
      <c r="AC42" s="120"/>
      <c r="AD42" s="120"/>
    </row>
    <row r="43">
      <c r="A43" s="66"/>
      <c r="B43" s="24"/>
      <c r="C43" s="35"/>
      <c r="D43" s="77"/>
      <c r="E43" s="2"/>
      <c r="F43" s="9"/>
      <c r="G43" s="143"/>
      <c r="H43" s="142"/>
      <c r="I43" s="142"/>
      <c r="J43" s="42"/>
      <c r="K43" s="142"/>
      <c r="L43" s="2"/>
      <c r="M43" s="59">
        <v>45988.0</v>
      </c>
      <c r="N43" s="60" t="s">
        <v>207</v>
      </c>
      <c r="O43" s="60" t="s">
        <v>70</v>
      </c>
      <c r="P43" s="60" t="s">
        <v>23</v>
      </c>
      <c r="Q43" s="62">
        <v>21.95</v>
      </c>
      <c r="R43" s="60" t="s">
        <v>17</v>
      </c>
      <c r="S43" s="3"/>
      <c r="T43" s="142"/>
      <c r="U43" s="142"/>
      <c r="V43" s="42"/>
      <c r="W43" s="42"/>
      <c r="X43" s="42"/>
      <c r="Y43" s="48"/>
      <c r="Z43" s="42"/>
      <c r="AA43" s="119"/>
      <c r="AB43" s="120"/>
      <c r="AC43" s="120"/>
      <c r="AD43" s="120"/>
    </row>
    <row r="44">
      <c r="A44" s="66"/>
      <c r="B44" s="24"/>
      <c r="C44" s="35"/>
      <c r="D44" s="77"/>
      <c r="E44" s="2"/>
      <c r="F44" s="9"/>
      <c r="G44" s="143"/>
      <c r="H44" s="142"/>
      <c r="I44" s="142"/>
      <c r="J44" s="42"/>
      <c r="K44" s="142"/>
      <c r="L44" s="2"/>
      <c r="M44" s="59">
        <v>45989.0</v>
      </c>
      <c r="N44" s="60" t="s">
        <v>253</v>
      </c>
      <c r="O44" s="60" t="s">
        <v>229</v>
      </c>
      <c r="P44" s="61">
        <v>45992.0</v>
      </c>
      <c r="Q44" s="62">
        <v>286.49</v>
      </c>
      <c r="R44" s="60" t="s">
        <v>17</v>
      </c>
      <c r="S44" s="3"/>
      <c r="T44" s="142"/>
      <c r="U44" s="142"/>
      <c r="V44" s="42"/>
      <c r="W44" s="42"/>
      <c r="X44" s="42"/>
      <c r="Y44" s="48"/>
      <c r="Z44" s="42"/>
      <c r="AA44" s="119"/>
      <c r="AB44" s="120"/>
      <c r="AC44" s="120"/>
      <c r="AD44" s="120"/>
    </row>
    <row r="45">
      <c r="A45" s="66"/>
      <c r="B45" s="24"/>
      <c r="C45" s="79" t="s">
        <v>77</v>
      </c>
      <c r="D45" s="17"/>
      <c r="E45" s="18"/>
      <c r="F45" s="9"/>
      <c r="G45" s="143"/>
      <c r="H45" s="142"/>
      <c r="I45" s="142"/>
      <c r="J45" s="42"/>
      <c r="K45" s="142"/>
      <c r="L45" s="2"/>
      <c r="M45" s="59">
        <v>45989.0</v>
      </c>
      <c r="N45" s="60" t="s">
        <v>254</v>
      </c>
      <c r="O45" s="60" t="s">
        <v>27</v>
      </c>
      <c r="P45" s="61">
        <v>45717.0</v>
      </c>
      <c r="Q45" s="62">
        <v>90.92</v>
      </c>
      <c r="R45" s="60" t="s">
        <v>17</v>
      </c>
      <c r="S45" s="3"/>
      <c r="T45" s="142"/>
      <c r="U45" s="142"/>
      <c r="V45" s="42"/>
      <c r="W45" s="42"/>
      <c r="X45" s="42"/>
      <c r="Y45" s="48"/>
      <c r="Z45" s="42"/>
      <c r="AA45" s="119"/>
      <c r="AB45" s="120"/>
      <c r="AC45" s="120"/>
      <c r="AD45" s="120"/>
    </row>
    <row r="46">
      <c r="A46" s="66"/>
      <c r="B46" s="24"/>
      <c r="C46" s="80"/>
      <c r="D46" s="81" t="s">
        <v>79</v>
      </c>
      <c r="E46" s="82" t="s">
        <v>14</v>
      </c>
      <c r="F46" s="9"/>
      <c r="G46" s="143"/>
      <c r="H46" s="142"/>
      <c r="I46" s="142"/>
      <c r="J46" s="42"/>
      <c r="K46" s="142"/>
      <c r="L46" s="2"/>
      <c r="M46" s="59">
        <v>45990.0</v>
      </c>
      <c r="N46" s="60" t="s">
        <v>255</v>
      </c>
      <c r="O46" s="60" t="s">
        <v>66</v>
      </c>
      <c r="P46" s="60" t="s">
        <v>23</v>
      </c>
      <c r="Q46" s="62">
        <v>69.19</v>
      </c>
      <c r="R46" s="60" t="s">
        <v>17</v>
      </c>
      <c r="S46" s="3"/>
      <c r="T46" s="142"/>
      <c r="U46" s="142"/>
      <c r="V46" s="42"/>
      <c r="W46" s="42"/>
      <c r="X46" s="42"/>
      <c r="Y46" s="48"/>
      <c r="Z46" s="42"/>
      <c r="AA46" s="119"/>
      <c r="AB46" s="120"/>
      <c r="AC46" s="120"/>
      <c r="AD46" s="120"/>
    </row>
    <row r="47">
      <c r="A47" s="66"/>
      <c r="B47" s="24"/>
      <c r="C47" s="82" t="s">
        <v>82</v>
      </c>
      <c r="D47" s="83"/>
      <c r="E47" s="83"/>
      <c r="F47" s="9"/>
      <c r="G47" s="143"/>
      <c r="H47" s="142"/>
      <c r="I47" s="142"/>
      <c r="J47" s="42"/>
      <c r="K47" s="142"/>
      <c r="L47" s="2"/>
      <c r="M47" s="59">
        <v>45990.0</v>
      </c>
      <c r="N47" s="60" t="s">
        <v>256</v>
      </c>
      <c r="O47" s="60" t="s">
        <v>70</v>
      </c>
      <c r="P47" s="60" t="s">
        <v>23</v>
      </c>
      <c r="Q47" s="62">
        <v>25.93</v>
      </c>
      <c r="R47" s="60" t="s">
        <v>17</v>
      </c>
      <c r="S47" s="3"/>
      <c r="T47" s="142"/>
      <c r="U47" s="142"/>
      <c r="V47" s="42"/>
      <c r="W47" s="42"/>
      <c r="X47" s="42"/>
      <c r="Y47" s="48"/>
      <c r="Z47" s="42"/>
      <c r="AA47" s="119"/>
      <c r="AB47" s="120"/>
      <c r="AC47" s="120"/>
      <c r="AD47" s="120"/>
    </row>
    <row r="48">
      <c r="A48" s="66"/>
      <c r="B48" s="24"/>
      <c r="C48" s="82" t="s">
        <v>84</v>
      </c>
      <c r="D48" s="129">
        <f>D20</f>
        <v>8976.66</v>
      </c>
      <c r="E48" s="42"/>
      <c r="F48" s="9"/>
      <c r="G48" s="143"/>
      <c r="H48" s="142"/>
      <c r="I48" s="142"/>
      <c r="J48" s="42"/>
      <c r="K48" s="142"/>
      <c r="L48" s="2"/>
      <c r="M48" s="59">
        <v>45991.0</v>
      </c>
      <c r="N48" s="60" t="s">
        <v>257</v>
      </c>
      <c r="O48" s="60" t="s">
        <v>66</v>
      </c>
      <c r="P48" s="60" t="s">
        <v>23</v>
      </c>
      <c r="Q48" s="62">
        <v>45.45</v>
      </c>
      <c r="R48" s="60" t="s">
        <v>17</v>
      </c>
      <c r="S48" s="3"/>
      <c r="T48" s="142"/>
      <c r="U48" s="142"/>
      <c r="V48" s="42"/>
      <c r="W48" s="42"/>
      <c r="X48" s="42"/>
      <c r="Y48" s="48"/>
      <c r="Z48" s="42"/>
      <c r="AA48" s="119"/>
      <c r="AB48" s="120"/>
      <c r="AC48" s="120"/>
      <c r="AD48" s="120"/>
    </row>
    <row r="49">
      <c r="A49" s="66"/>
      <c r="B49" s="24"/>
      <c r="C49" s="82" t="s">
        <v>85</v>
      </c>
      <c r="D49" s="42">
        <f>SUMIF(R7:R95,"Itaú",Q7:Q95) + SUMIF(K7:K95,"Itaú",J7:J95)</f>
        <v>4607.17</v>
      </c>
      <c r="E49" s="38"/>
      <c r="F49" s="9"/>
      <c r="G49" s="143"/>
      <c r="H49" s="142"/>
      <c r="I49" s="142"/>
      <c r="J49" s="42"/>
      <c r="K49" s="142"/>
      <c r="L49" s="2"/>
      <c r="M49" s="59">
        <v>45991.0</v>
      </c>
      <c r="N49" s="60" t="s">
        <v>258</v>
      </c>
      <c r="O49" s="60" t="s">
        <v>66</v>
      </c>
      <c r="P49" s="60" t="s">
        <v>23</v>
      </c>
      <c r="Q49" s="62">
        <v>38.0</v>
      </c>
      <c r="R49" s="60" t="s">
        <v>17</v>
      </c>
      <c r="S49" s="3"/>
      <c r="T49" s="142"/>
      <c r="U49" s="142"/>
      <c r="V49" s="42"/>
      <c r="W49" s="42"/>
      <c r="X49" s="42"/>
      <c r="Y49" s="48"/>
      <c r="Z49" s="42"/>
      <c r="AA49" s="119"/>
      <c r="AB49" s="120"/>
      <c r="AC49" s="120"/>
      <c r="AD49" s="120"/>
    </row>
    <row r="50">
      <c r="A50" s="66"/>
      <c r="B50" s="24"/>
      <c r="C50" s="82" t="s">
        <v>87</v>
      </c>
      <c r="D50" s="42"/>
      <c r="E50" s="42"/>
      <c r="F50" s="9"/>
      <c r="G50" s="143"/>
      <c r="H50" s="142"/>
      <c r="I50" s="142"/>
      <c r="J50" s="42"/>
      <c r="K50" s="142"/>
      <c r="L50" s="2"/>
      <c r="M50" s="59">
        <v>45991.0</v>
      </c>
      <c r="N50" s="60" t="s">
        <v>259</v>
      </c>
      <c r="O50" s="60" t="s">
        <v>66</v>
      </c>
      <c r="P50" s="60" t="s">
        <v>23</v>
      </c>
      <c r="Q50" s="62">
        <v>36.0</v>
      </c>
      <c r="R50" s="60" t="s">
        <v>17</v>
      </c>
      <c r="S50" s="3"/>
      <c r="T50" s="142"/>
      <c r="U50" s="142"/>
      <c r="V50" s="42"/>
      <c r="W50" s="42"/>
      <c r="X50" s="42"/>
      <c r="Y50" s="48"/>
      <c r="Z50" s="42"/>
      <c r="AA50" s="119"/>
      <c r="AB50" s="120"/>
      <c r="AC50" s="120"/>
      <c r="AD50" s="120"/>
    </row>
    <row r="51">
      <c r="A51" s="66"/>
      <c r="B51" s="24"/>
      <c r="C51" s="82" t="s">
        <v>89</v>
      </c>
      <c r="D51" s="130">
        <f>SUM(J96,Q96)</f>
        <v>5196.89</v>
      </c>
      <c r="E51" s="42"/>
      <c r="F51" s="9"/>
      <c r="G51" s="143"/>
      <c r="H51" s="142"/>
      <c r="I51" s="142"/>
      <c r="J51" s="42"/>
      <c r="K51" s="142"/>
      <c r="L51" s="2"/>
      <c r="M51" s="59">
        <v>45991.0</v>
      </c>
      <c r="N51" s="60" t="s">
        <v>260</v>
      </c>
      <c r="O51" s="60" t="s">
        <v>70</v>
      </c>
      <c r="P51" s="60" t="s">
        <v>23</v>
      </c>
      <c r="Q51" s="62">
        <v>51.05</v>
      </c>
      <c r="R51" s="60" t="s">
        <v>17</v>
      </c>
      <c r="S51" s="3"/>
      <c r="T51" s="142"/>
      <c r="U51" s="142"/>
      <c r="V51" s="42"/>
      <c r="W51" s="42"/>
      <c r="X51" s="42"/>
      <c r="Y51" s="48"/>
      <c r="Z51" s="42"/>
      <c r="AA51" s="119"/>
      <c r="AB51" s="120"/>
      <c r="AC51" s="120"/>
      <c r="AD51" s="120"/>
    </row>
    <row r="52">
      <c r="A52" s="66"/>
      <c r="B52" s="24"/>
      <c r="C52" s="82" t="s">
        <v>91</v>
      </c>
      <c r="D52" s="42">
        <f>V96</f>
        <v>0</v>
      </c>
      <c r="E52" s="42"/>
      <c r="F52" s="9"/>
      <c r="G52" s="143"/>
      <c r="H52" s="142"/>
      <c r="I52" s="142"/>
      <c r="J52" s="42"/>
      <c r="K52" s="142"/>
      <c r="L52" s="2"/>
      <c r="M52" s="40">
        <v>45992.0</v>
      </c>
      <c r="N52" s="37" t="s">
        <v>208</v>
      </c>
      <c r="O52" s="37" t="s">
        <v>81</v>
      </c>
      <c r="P52" s="37" t="s">
        <v>23</v>
      </c>
      <c r="Q52" s="38">
        <v>29.0</v>
      </c>
      <c r="R52" s="37" t="s">
        <v>17</v>
      </c>
      <c r="S52" s="3"/>
      <c r="T52" s="142"/>
      <c r="U52" s="142"/>
      <c r="V52" s="42"/>
      <c r="W52" s="42"/>
      <c r="X52" s="42"/>
      <c r="Y52" s="48"/>
      <c r="Z52" s="42"/>
      <c r="AA52" s="119"/>
      <c r="AB52" s="120"/>
      <c r="AC52" s="120"/>
      <c r="AD52" s="120"/>
    </row>
    <row r="53">
      <c r="A53" s="66"/>
      <c r="B53" s="24"/>
      <c r="C53" s="84" t="s">
        <v>93</v>
      </c>
      <c r="D53" s="85">
        <f>SUM(D47,D48)- SUM(D51,D52)</f>
        <v>3779.77</v>
      </c>
      <c r="E53" s="86"/>
      <c r="F53" s="9"/>
      <c r="G53" s="143"/>
      <c r="H53" s="142"/>
      <c r="I53" s="142"/>
      <c r="J53" s="42"/>
      <c r="K53" s="142"/>
      <c r="L53" s="2"/>
      <c r="M53" s="59">
        <v>45992.0</v>
      </c>
      <c r="N53" s="60" t="s">
        <v>261</v>
      </c>
      <c r="O53" s="60" t="s">
        <v>66</v>
      </c>
      <c r="P53" s="60" t="s">
        <v>23</v>
      </c>
      <c r="Q53" s="62">
        <v>276.0</v>
      </c>
      <c r="R53" s="60" t="s">
        <v>17</v>
      </c>
      <c r="S53" s="3"/>
      <c r="T53" s="142"/>
      <c r="U53" s="142"/>
      <c r="V53" s="42"/>
      <c r="W53" s="42"/>
      <c r="X53" s="42"/>
      <c r="Y53" s="48"/>
      <c r="Z53" s="42"/>
      <c r="AA53" s="119"/>
      <c r="AB53" s="120"/>
      <c r="AC53" s="120"/>
      <c r="AD53" s="120"/>
    </row>
    <row r="54">
      <c r="A54" s="66"/>
      <c r="B54" s="24"/>
      <c r="C54" s="35"/>
      <c r="D54" s="77"/>
      <c r="E54" s="2"/>
      <c r="F54" s="9"/>
      <c r="G54" s="143"/>
      <c r="H54" s="142"/>
      <c r="I54" s="142"/>
      <c r="J54" s="42"/>
      <c r="K54" s="142"/>
      <c r="L54" s="2"/>
      <c r="M54" s="59">
        <v>45993.0</v>
      </c>
      <c r="N54" s="60" t="s">
        <v>136</v>
      </c>
      <c r="O54" s="60" t="s">
        <v>70</v>
      </c>
      <c r="P54" s="60" t="s">
        <v>23</v>
      </c>
      <c r="Q54" s="62">
        <v>20.9</v>
      </c>
      <c r="R54" s="60" t="s">
        <v>17</v>
      </c>
      <c r="S54" s="3"/>
      <c r="T54" s="142"/>
      <c r="U54" s="142"/>
      <c r="V54" s="42"/>
      <c r="W54" s="42"/>
      <c r="X54" s="42"/>
      <c r="Y54" s="48"/>
      <c r="Z54" s="42"/>
      <c r="AA54" s="119"/>
      <c r="AB54" s="120"/>
      <c r="AC54" s="120"/>
      <c r="AD54" s="120"/>
    </row>
    <row r="55">
      <c r="A55" s="66"/>
      <c r="B55" s="24"/>
      <c r="C55" s="35"/>
      <c r="D55" s="77"/>
      <c r="E55" s="2"/>
      <c r="F55" s="9"/>
      <c r="G55" s="143"/>
      <c r="H55" s="142"/>
      <c r="I55" s="142"/>
      <c r="J55" s="42"/>
      <c r="K55" s="142"/>
      <c r="L55" s="2"/>
      <c r="M55" s="59">
        <v>45994.0</v>
      </c>
      <c r="N55" s="60" t="s">
        <v>262</v>
      </c>
      <c r="O55" s="60" t="s">
        <v>81</v>
      </c>
      <c r="P55" s="60" t="s">
        <v>23</v>
      </c>
      <c r="Q55" s="62">
        <v>55.71</v>
      </c>
      <c r="R55" s="60" t="s">
        <v>17</v>
      </c>
      <c r="S55" s="3"/>
      <c r="T55" s="142"/>
      <c r="U55" s="142"/>
      <c r="V55" s="42"/>
      <c r="W55" s="42"/>
      <c r="X55" s="42"/>
      <c r="Y55" s="48"/>
      <c r="Z55" s="42"/>
      <c r="AA55" s="119"/>
      <c r="AB55" s="120"/>
      <c r="AC55" s="120"/>
      <c r="AD55" s="120"/>
    </row>
    <row r="56">
      <c r="A56" s="66"/>
      <c r="B56" s="24"/>
      <c r="C56" s="35"/>
      <c r="D56" s="77"/>
      <c r="E56" s="2"/>
      <c r="F56" s="9"/>
      <c r="G56" s="143"/>
      <c r="H56" s="142"/>
      <c r="I56" s="142"/>
      <c r="J56" s="42"/>
      <c r="K56" s="142"/>
      <c r="L56" s="2"/>
      <c r="M56" s="59">
        <v>45994.0</v>
      </c>
      <c r="N56" s="60" t="s">
        <v>263</v>
      </c>
      <c r="O56" s="60" t="s">
        <v>70</v>
      </c>
      <c r="P56" s="60" t="s">
        <v>23</v>
      </c>
      <c r="Q56" s="62">
        <v>19.0</v>
      </c>
      <c r="R56" s="60" t="s">
        <v>17</v>
      </c>
      <c r="S56" s="3"/>
      <c r="T56" s="142"/>
      <c r="U56" s="142"/>
      <c r="V56" s="42"/>
      <c r="W56" s="42"/>
      <c r="X56" s="42"/>
      <c r="Y56" s="48"/>
      <c r="Z56" s="42"/>
      <c r="AA56" s="119"/>
      <c r="AB56" s="120"/>
      <c r="AC56" s="120"/>
      <c r="AD56" s="120"/>
    </row>
    <row r="57">
      <c r="A57" s="66"/>
      <c r="B57" s="24"/>
      <c r="C57" s="35"/>
      <c r="D57" s="77"/>
      <c r="E57" s="2"/>
      <c r="F57" s="9"/>
      <c r="G57" s="143"/>
      <c r="H57" s="142"/>
      <c r="I57" s="142"/>
      <c r="J57" s="42"/>
      <c r="K57" s="142"/>
      <c r="L57" s="2"/>
      <c r="M57" s="40">
        <v>45994.0</v>
      </c>
      <c r="N57" s="37" t="s">
        <v>263</v>
      </c>
      <c r="O57" s="37" t="s">
        <v>70</v>
      </c>
      <c r="P57" s="38" t="s">
        <v>23</v>
      </c>
      <c r="Q57" s="38">
        <v>16.1</v>
      </c>
      <c r="R57" s="37" t="s">
        <v>17</v>
      </c>
      <c r="S57" s="3"/>
      <c r="T57" s="142"/>
      <c r="U57" s="142"/>
      <c r="V57" s="42"/>
      <c r="W57" s="42"/>
      <c r="X57" s="42"/>
      <c r="Y57" s="48"/>
      <c r="Z57" s="42"/>
      <c r="AA57" s="119"/>
      <c r="AB57" s="120"/>
      <c r="AC57" s="120"/>
      <c r="AD57" s="120"/>
    </row>
    <row r="58">
      <c r="A58" s="66"/>
      <c r="B58" s="24"/>
      <c r="C58" s="35"/>
      <c r="D58" s="77"/>
      <c r="E58" s="2"/>
      <c r="F58" s="9"/>
      <c r="G58" s="143"/>
      <c r="H58" s="142"/>
      <c r="I58" s="142"/>
      <c r="J58" s="42"/>
      <c r="K58" s="142"/>
      <c r="L58" s="2"/>
      <c r="M58" s="59">
        <v>45995.0</v>
      </c>
      <c r="N58" s="60" t="s">
        <v>264</v>
      </c>
      <c r="O58" s="60" t="s">
        <v>46</v>
      </c>
      <c r="P58" s="60" t="s">
        <v>23</v>
      </c>
      <c r="Q58" s="62">
        <v>64.98</v>
      </c>
      <c r="R58" s="60" t="s">
        <v>17</v>
      </c>
      <c r="S58" s="3"/>
      <c r="T58" s="142"/>
      <c r="U58" s="142"/>
      <c r="V58" s="42"/>
      <c r="W58" s="42"/>
      <c r="X58" s="42"/>
      <c r="Y58" s="48"/>
      <c r="Z58" s="42"/>
      <c r="AA58" s="119"/>
      <c r="AB58" s="120"/>
      <c r="AC58" s="120"/>
      <c r="AD58" s="120"/>
    </row>
    <row r="59">
      <c r="A59" s="66"/>
      <c r="B59" s="24"/>
      <c r="C59" s="35"/>
      <c r="D59" s="77"/>
      <c r="E59" s="2"/>
      <c r="F59" s="9"/>
      <c r="G59" s="143"/>
      <c r="H59" s="142"/>
      <c r="I59" s="142"/>
      <c r="J59" s="42"/>
      <c r="K59" s="142"/>
      <c r="L59" s="2"/>
      <c r="M59" s="59">
        <v>45995.0</v>
      </c>
      <c r="N59" s="60" t="s">
        <v>103</v>
      </c>
      <c r="O59" s="60" t="s">
        <v>81</v>
      </c>
      <c r="P59" s="60" t="s">
        <v>23</v>
      </c>
      <c r="Q59" s="62">
        <v>7.0</v>
      </c>
      <c r="R59" s="60" t="s">
        <v>17</v>
      </c>
      <c r="S59" s="3"/>
      <c r="T59" s="142"/>
      <c r="U59" s="142"/>
      <c r="V59" s="42"/>
      <c r="W59" s="42"/>
      <c r="X59" s="42"/>
      <c r="Y59" s="48"/>
      <c r="Z59" s="42"/>
      <c r="AA59" s="119"/>
      <c r="AB59" s="120"/>
      <c r="AC59" s="120"/>
      <c r="AD59" s="120"/>
    </row>
    <row r="60">
      <c r="A60" s="66"/>
      <c r="B60" s="24"/>
      <c r="C60" s="35"/>
      <c r="D60" s="77"/>
      <c r="E60" s="2"/>
      <c r="F60" s="9"/>
      <c r="G60" s="143"/>
      <c r="H60" s="142"/>
      <c r="I60" s="142"/>
      <c r="J60" s="42"/>
      <c r="K60" s="142"/>
      <c r="L60" s="2"/>
      <c r="M60" s="59">
        <v>45995.0</v>
      </c>
      <c r="N60" s="60" t="s">
        <v>207</v>
      </c>
      <c r="O60" s="60" t="s">
        <v>70</v>
      </c>
      <c r="P60" s="60" t="s">
        <v>23</v>
      </c>
      <c r="Q60" s="62">
        <v>22.1</v>
      </c>
      <c r="R60" s="60" t="s">
        <v>17</v>
      </c>
      <c r="S60" s="3"/>
      <c r="T60" s="142"/>
      <c r="U60" s="142"/>
      <c r="V60" s="42"/>
      <c r="W60" s="42"/>
      <c r="X60" s="42"/>
      <c r="Y60" s="48"/>
      <c r="Z60" s="42"/>
      <c r="AA60" s="119"/>
      <c r="AB60" s="120"/>
      <c r="AC60" s="120"/>
      <c r="AD60" s="120"/>
    </row>
    <row r="61">
      <c r="A61" s="66"/>
      <c r="B61" s="24"/>
      <c r="C61" s="35"/>
      <c r="D61" s="77"/>
      <c r="E61" s="2"/>
      <c r="F61" s="9"/>
      <c r="G61" s="143"/>
      <c r="H61" s="142"/>
      <c r="I61" s="142"/>
      <c r="J61" s="42"/>
      <c r="K61" s="142"/>
      <c r="L61" s="2"/>
      <c r="M61" s="59">
        <v>45995.0</v>
      </c>
      <c r="N61" s="60" t="s">
        <v>265</v>
      </c>
      <c r="O61" s="60" t="s">
        <v>55</v>
      </c>
      <c r="P61" s="61">
        <v>45748.0</v>
      </c>
      <c r="Q61" s="62">
        <v>69.93</v>
      </c>
      <c r="R61" s="60" t="s">
        <v>17</v>
      </c>
      <c r="S61" s="3"/>
      <c r="T61" s="142"/>
      <c r="U61" s="142"/>
      <c r="V61" s="42"/>
      <c r="W61" s="42"/>
      <c r="X61" s="42"/>
      <c r="Y61" s="48"/>
      <c r="Z61" s="42"/>
      <c r="AA61" s="119"/>
      <c r="AB61" s="120"/>
      <c r="AC61" s="120"/>
      <c r="AD61" s="120"/>
    </row>
    <row r="62">
      <c r="A62" s="66"/>
      <c r="B62" s="24"/>
      <c r="C62" s="35"/>
      <c r="D62" s="77"/>
      <c r="E62" s="2"/>
      <c r="F62" s="9"/>
      <c r="G62" s="143"/>
      <c r="H62" s="142"/>
      <c r="I62" s="142"/>
      <c r="J62" s="42"/>
      <c r="K62" s="142"/>
      <c r="L62" s="2"/>
      <c r="M62" s="59">
        <v>45992.0</v>
      </c>
      <c r="N62" s="60" t="s">
        <v>266</v>
      </c>
      <c r="O62" s="60" t="s">
        <v>70</v>
      </c>
      <c r="P62" s="60" t="s">
        <v>23</v>
      </c>
      <c r="Q62" s="62">
        <v>47.83</v>
      </c>
      <c r="R62" s="60" t="s">
        <v>38</v>
      </c>
      <c r="S62" s="3"/>
      <c r="T62" s="142"/>
      <c r="U62" s="142"/>
      <c r="V62" s="42"/>
      <c r="W62" s="42"/>
      <c r="X62" s="42"/>
      <c r="Y62" s="48"/>
      <c r="Z62" s="42"/>
      <c r="AA62" s="119"/>
      <c r="AB62" s="120"/>
      <c r="AC62" s="120"/>
      <c r="AD62" s="120"/>
    </row>
    <row r="63">
      <c r="A63" s="66"/>
      <c r="B63" s="24"/>
      <c r="C63" s="35"/>
      <c r="D63" s="77"/>
      <c r="E63" s="2"/>
      <c r="F63" s="9"/>
      <c r="G63" s="143"/>
      <c r="H63" s="142"/>
      <c r="I63" s="142"/>
      <c r="J63" s="42"/>
      <c r="K63" s="142"/>
      <c r="L63" s="2"/>
      <c r="M63" s="59"/>
      <c r="N63" s="60"/>
      <c r="O63" s="60"/>
      <c r="P63" s="60"/>
      <c r="Q63" s="62"/>
      <c r="R63" s="60"/>
      <c r="S63" s="3"/>
      <c r="T63" s="142"/>
      <c r="U63" s="142"/>
      <c r="V63" s="42"/>
      <c r="W63" s="42"/>
      <c r="X63" s="42"/>
      <c r="Y63" s="48"/>
      <c r="Z63" s="42"/>
      <c r="AA63" s="119"/>
      <c r="AB63" s="120"/>
      <c r="AC63" s="120"/>
      <c r="AD63" s="120"/>
    </row>
    <row r="64">
      <c r="A64" s="66"/>
      <c r="B64" s="24"/>
      <c r="C64" s="35"/>
      <c r="D64" s="77"/>
      <c r="E64" s="2"/>
      <c r="F64" s="9"/>
      <c r="G64" s="143"/>
      <c r="H64" s="142"/>
      <c r="I64" s="142"/>
      <c r="J64" s="42"/>
      <c r="K64" s="142"/>
      <c r="L64" s="2"/>
      <c r="M64" s="59"/>
      <c r="N64" s="60"/>
      <c r="O64" s="60"/>
      <c r="P64" s="60"/>
      <c r="Q64" s="62"/>
      <c r="R64" s="60"/>
      <c r="S64" s="3"/>
      <c r="T64" s="142"/>
      <c r="U64" s="142"/>
      <c r="V64" s="42"/>
      <c r="W64" s="42"/>
      <c r="X64" s="42"/>
      <c r="Y64" s="48"/>
      <c r="Z64" s="42"/>
      <c r="AA64" s="119"/>
      <c r="AB64" s="120"/>
      <c r="AC64" s="120"/>
      <c r="AD64" s="120"/>
    </row>
    <row r="65">
      <c r="A65" s="66"/>
      <c r="B65" s="24"/>
      <c r="C65" s="35"/>
      <c r="D65" s="77"/>
      <c r="E65" s="2"/>
      <c r="F65" s="9"/>
      <c r="G65" s="143"/>
      <c r="H65" s="142"/>
      <c r="I65" s="142"/>
      <c r="J65" s="42"/>
      <c r="K65" s="142"/>
      <c r="L65" s="2"/>
      <c r="M65" s="59"/>
      <c r="N65" s="60"/>
      <c r="O65" s="60"/>
      <c r="P65" s="60"/>
      <c r="Q65" s="62"/>
      <c r="R65" s="60"/>
      <c r="S65" s="3"/>
      <c r="T65" s="142"/>
      <c r="U65" s="142"/>
      <c r="V65" s="42"/>
      <c r="W65" s="42"/>
      <c r="X65" s="42"/>
      <c r="Y65" s="48"/>
      <c r="Z65" s="42"/>
      <c r="AA65" s="119"/>
      <c r="AB65" s="120"/>
      <c r="AC65" s="120"/>
      <c r="AD65" s="120"/>
    </row>
    <row r="66">
      <c r="A66" s="66"/>
      <c r="B66" s="24"/>
      <c r="C66" s="35"/>
      <c r="D66" s="77"/>
      <c r="E66" s="2"/>
      <c r="F66" s="9"/>
      <c r="G66" s="143"/>
      <c r="H66" s="142"/>
      <c r="I66" s="142"/>
      <c r="J66" s="42"/>
      <c r="K66" s="142"/>
      <c r="L66" s="2"/>
      <c r="M66" s="59"/>
      <c r="N66" s="60"/>
      <c r="O66" s="60"/>
      <c r="P66" s="60"/>
      <c r="Q66" s="62"/>
      <c r="R66" s="60"/>
      <c r="S66" s="3"/>
      <c r="T66" s="142"/>
      <c r="U66" s="142"/>
      <c r="V66" s="42"/>
      <c r="W66" s="42"/>
      <c r="X66" s="42"/>
      <c r="Y66" s="48"/>
      <c r="Z66" s="42"/>
      <c r="AA66" s="119"/>
      <c r="AB66" s="120"/>
      <c r="AC66" s="120"/>
      <c r="AD66" s="120"/>
    </row>
    <row r="67">
      <c r="A67" s="66"/>
      <c r="B67" s="24"/>
      <c r="C67" s="35"/>
      <c r="D67" s="77"/>
      <c r="E67" s="2"/>
      <c r="F67" s="9"/>
      <c r="G67" s="143"/>
      <c r="H67" s="142"/>
      <c r="I67" s="142"/>
      <c r="J67" s="42"/>
      <c r="K67" s="142"/>
      <c r="L67" s="2"/>
      <c r="M67" s="59"/>
      <c r="N67" s="60"/>
      <c r="O67" s="60"/>
      <c r="P67" s="60"/>
      <c r="Q67" s="62"/>
      <c r="R67" s="60"/>
      <c r="S67" s="3"/>
      <c r="T67" s="142"/>
      <c r="U67" s="142"/>
      <c r="V67" s="42"/>
      <c r="W67" s="42"/>
      <c r="X67" s="42"/>
      <c r="Y67" s="48"/>
      <c r="Z67" s="42"/>
      <c r="AA67" s="119"/>
      <c r="AB67" s="120"/>
      <c r="AC67" s="120"/>
      <c r="AD67" s="120"/>
    </row>
    <row r="68">
      <c r="A68" s="66"/>
      <c r="B68" s="24"/>
      <c r="C68" s="35"/>
      <c r="D68" s="77"/>
      <c r="E68" s="2"/>
      <c r="F68" s="9"/>
      <c r="G68" s="143"/>
      <c r="H68" s="142"/>
      <c r="I68" s="142"/>
      <c r="J68" s="42"/>
      <c r="K68" s="142"/>
      <c r="L68" s="2"/>
      <c r="M68" s="59"/>
      <c r="N68" s="60"/>
      <c r="O68" s="60"/>
      <c r="P68" s="60"/>
      <c r="Q68" s="62"/>
      <c r="R68" s="60"/>
      <c r="S68" s="3"/>
      <c r="T68" s="142"/>
      <c r="U68" s="142"/>
      <c r="V68" s="42"/>
      <c r="W68" s="42"/>
      <c r="X68" s="42"/>
      <c r="Y68" s="48"/>
      <c r="Z68" s="42"/>
      <c r="AA68" s="119"/>
      <c r="AB68" s="120"/>
      <c r="AC68" s="120"/>
      <c r="AD68" s="120"/>
    </row>
    <row r="69">
      <c r="A69" s="66"/>
      <c r="B69" s="24"/>
      <c r="C69" s="35"/>
      <c r="D69" s="77"/>
      <c r="E69" s="2"/>
      <c r="F69" s="9"/>
      <c r="G69" s="143"/>
      <c r="H69" s="142"/>
      <c r="I69" s="142"/>
      <c r="J69" s="42"/>
      <c r="K69" s="142"/>
      <c r="L69" s="2"/>
      <c r="M69" s="59"/>
      <c r="N69" s="60"/>
      <c r="O69" s="60"/>
      <c r="P69" s="60"/>
      <c r="Q69" s="62"/>
      <c r="R69" s="60"/>
      <c r="S69" s="3"/>
      <c r="T69" s="142"/>
      <c r="U69" s="142"/>
      <c r="V69" s="42"/>
      <c r="W69" s="42"/>
      <c r="X69" s="42"/>
      <c r="Y69" s="48"/>
      <c r="Z69" s="42"/>
      <c r="AA69" s="119"/>
      <c r="AB69" s="120"/>
      <c r="AC69" s="120"/>
      <c r="AD69" s="120"/>
    </row>
    <row r="70">
      <c r="A70" s="66"/>
      <c r="B70" s="24"/>
      <c r="C70" s="35"/>
      <c r="D70" s="77"/>
      <c r="E70" s="2"/>
      <c r="F70" s="9"/>
      <c r="G70" s="143"/>
      <c r="H70" s="142"/>
      <c r="I70" s="142"/>
      <c r="J70" s="42"/>
      <c r="K70" s="142"/>
      <c r="L70" s="2"/>
      <c r="M70" s="59"/>
      <c r="N70" s="60"/>
      <c r="O70" s="60"/>
      <c r="P70" s="60"/>
      <c r="Q70" s="62"/>
      <c r="R70" s="60"/>
      <c r="S70" s="3"/>
      <c r="T70" s="142"/>
      <c r="U70" s="142"/>
      <c r="V70" s="42"/>
      <c r="W70" s="42"/>
      <c r="X70" s="42"/>
      <c r="Y70" s="48"/>
      <c r="Z70" s="42"/>
      <c r="AA70" s="119"/>
      <c r="AB70" s="120"/>
      <c r="AC70" s="120"/>
      <c r="AD70" s="120"/>
    </row>
    <row r="71">
      <c r="A71" s="66"/>
      <c r="B71" s="24"/>
      <c r="C71" s="35"/>
      <c r="D71" s="77"/>
      <c r="E71" s="2"/>
      <c r="F71" s="9"/>
      <c r="G71" s="143"/>
      <c r="H71" s="142"/>
      <c r="I71" s="142"/>
      <c r="J71" s="42"/>
      <c r="K71" s="142"/>
      <c r="L71" s="2"/>
      <c r="M71" s="59"/>
      <c r="N71" s="60"/>
      <c r="O71" s="60"/>
      <c r="P71" s="60"/>
      <c r="Q71" s="62"/>
      <c r="R71" s="60"/>
      <c r="S71" s="3"/>
      <c r="T71" s="142"/>
      <c r="U71" s="142"/>
      <c r="V71" s="42"/>
      <c r="W71" s="42"/>
      <c r="X71" s="42"/>
      <c r="Y71" s="48"/>
      <c r="Z71" s="42"/>
      <c r="AA71" s="119"/>
      <c r="AB71" s="120"/>
      <c r="AC71" s="120"/>
      <c r="AD71" s="120"/>
    </row>
    <row r="72">
      <c r="A72" s="66"/>
      <c r="B72" s="24"/>
      <c r="C72" s="35"/>
      <c r="D72" s="77"/>
      <c r="E72" s="2"/>
      <c r="F72" s="9"/>
      <c r="G72" s="143"/>
      <c r="H72" s="142"/>
      <c r="I72" s="142"/>
      <c r="J72" s="42"/>
      <c r="K72" s="142"/>
      <c r="L72" s="2"/>
      <c r="M72" s="59"/>
      <c r="N72" s="60"/>
      <c r="O72" s="60"/>
      <c r="P72" s="60"/>
      <c r="Q72" s="62"/>
      <c r="R72" s="60"/>
      <c r="S72" s="3"/>
      <c r="T72" s="142"/>
      <c r="U72" s="142"/>
      <c r="V72" s="42"/>
      <c r="W72" s="42"/>
      <c r="X72" s="42"/>
      <c r="Y72" s="48"/>
      <c r="Z72" s="42"/>
      <c r="AA72" s="119"/>
      <c r="AB72" s="120"/>
      <c r="AC72" s="120"/>
      <c r="AD72" s="120"/>
    </row>
    <row r="73">
      <c r="A73" s="66"/>
      <c r="B73" s="24"/>
      <c r="C73" s="35"/>
      <c r="D73" s="77"/>
      <c r="E73" s="2"/>
      <c r="F73" s="9"/>
      <c r="G73" s="143"/>
      <c r="H73" s="142"/>
      <c r="I73" s="142"/>
      <c r="J73" s="42"/>
      <c r="K73" s="142"/>
      <c r="L73" s="2"/>
      <c r="M73" s="59"/>
      <c r="N73" s="60"/>
      <c r="O73" s="60"/>
      <c r="P73" s="60"/>
      <c r="Q73" s="62"/>
      <c r="R73" s="60"/>
      <c r="S73" s="3"/>
      <c r="T73" s="142"/>
      <c r="U73" s="142"/>
      <c r="V73" s="42"/>
      <c r="W73" s="42"/>
      <c r="X73" s="42"/>
      <c r="Y73" s="48"/>
      <c r="Z73" s="42"/>
      <c r="AA73" s="119"/>
      <c r="AB73" s="120"/>
      <c r="AC73" s="120"/>
      <c r="AD73" s="120"/>
    </row>
    <row r="74">
      <c r="A74" s="66"/>
      <c r="B74" s="24"/>
      <c r="C74" s="35"/>
      <c r="D74" s="77"/>
      <c r="E74" s="2"/>
      <c r="F74" s="9"/>
      <c r="G74" s="143"/>
      <c r="H74" s="142"/>
      <c r="I74" s="142"/>
      <c r="J74" s="42"/>
      <c r="K74" s="142"/>
      <c r="L74" s="2"/>
      <c r="M74" s="59"/>
      <c r="N74" s="60"/>
      <c r="O74" s="60"/>
      <c r="P74" s="60"/>
      <c r="Q74" s="62"/>
      <c r="R74" s="60"/>
      <c r="S74" s="3"/>
      <c r="T74" s="142"/>
      <c r="U74" s="142"/>
      <c r="V74" s="42"/>
      <c r="W74" s="42"/>
      <c r="X74" s="42"/>
      <c r="Y74" s="48"/>
      <c r="Z74" s="42"/>
      <c r="AA74" s="119"/>
      <c r="AB74" s="120"/>
      <c r="AC74" s="120"/>
      <c r="AD74" s="120"/>
    </row>
    <row r="75">
      <c r="A75" s="66"/>
      <c r="B75" s="24"/>
      <c r="C75" s="35"/>
      <c r="D75" s="77"/>
      <c r="E75" s="2"/>
      <c r="F75" s="9"/>
      <c r="G75" s="143"/>
      <c r="H75" s="142"/>
      <c r="I75" s="142"/>
      <c r="J75" s="42"/>
      <c r="K75" s="142"/>
      <c r="L75" s="2"/>
      <c r="M75" s="59"/>
      <c r="N75" s="60"/>
      <c r="O75" s="60"/>
      <c r="P75" s="60"/>
      <c r="Q75" s="62"/>
      <c r="R75" s="60"/>
      <c r="S75" s="3"/>
      <c r="T75" s="142"/>
      <c r="U75" s="142"/>
      <c r="V75" s="42"/>
      <c r="W75" s="42"/>
      <c r="X75" s="42"/>
      <c r="Y75" s="48"/>
      <c r="Z75" s="42"/>
      <c r="AA75" s="119"/>
      <c r="AB75" s="120"/>
      <c r="AC75" s="120"/>
      <c r="AD75" s="120"/>
    </row>
    <row r="76">
      <c r="A76" s="66"/>
      <c r="B76" s="24"/>
      <c r="C76" s="35"/>
      <c r="D76" s="77"/>
      <c r="E76" s="2"/>
      <c r="F76" s="9"/>
      <c r="G76" s="143"/>
      <c r="H76" s="142"/>
      <c r="I76" s="142"/>
      <c r="J76" s="42"/>
      <c r="K76" s="142"/>
      <c r="L76" s="2"/>
      <c r="M76" s="59"/>
      <c r="N76" s="60"/>
      <c r="O76" s="60"/>
      <c r="P76" s="60"/>
      <c r="Q76" s="62"/>
      <c r="R76" s="60"/>
      <c r="S76" s="3"/>
      <c r="T76" s="142"/>
      <c r="U76" s="142"/>
      <c r="V76" s="42"/>
      <c r="W76" s="42"/>
      <c r="X76" s="42"/>
      <c r="Y76" s="48"/>
      <c r="Z76" s="42"/>
      <c r="AA76" s="119"/>
      <c r="AB76" s="120"/>
      <c r="AC76" s="120"/>
      <c r="AD76" s="120"/>
    </row>
    <row r="77">
      <c r="A77" s="66"/>
      <c r="B77" s="24"/>
      <c r="C77" s="35"/>
      <c r="D77" s="77"/>
      <c r="E77" s="2"/>
      <c r="F77" s="9"/>
      <c r="G77" s="143"/>
      <c r="H77" s="142"/>
      <c r="I77" s="142"/>
      <c r="J77" s="42"/>
      <c r="K77" s="142"/>
      <c r="L77" s="2"/>
      <c r="M77" s="59"/>
      <c r="N77" s="60"/>
      <c r="O77" s="60"/>
      <c r="P77" s="60"/>
      <c r="Q77" s="62"/>
      <c r="R77" s="60"/>
      <c r="S77" s="3"/>
      <c r="T77" s="142"/>
      <c r="U77" s="142"/>
      <c r="V77" s="42"/>
      <c r="W77" s="42"/>
      <c r="X77" s="42"/>
      <c r="Y77" s="48"/>
      <c r="Z77" s="42"/>
      <c r="AA77" s="119"/>
      <c r="AB77" s="120"/>
      <c r="AC77" s="120"/>
      <c r="AD77" s="120"/>
    </row>
    <row r="78">
      <c r="A78" s="66"/>
      <c r="B78" s="24"/>
      <c r="C78" s="35"/>
      <c r="D78" s="77"/>
      <c r="E78" s="2"/>
      <c r="F78" s="9"/>
      <c r="G78" s="143"/>
      <c r="H78" s="142"/>
      <c r="I78" s="142"/>
      <c r="J78" s="42"/>
      <c r="K78" s="142"/>
      <c r="L78" s="2"/>
      <c r="M78" s="40"/>
      <c r="N78" s="37"/>
      <c r="O78" s="37"/>
      <c r="P78" s="38"/>
      <c r="Q78" s="38"/>
      <c r="R78" s="37"/>
      <c r="S78" s="3"/>
      <c r="T78" s="142"/>
      <c r="U78" s="142"/>
      <c r="V78" s="42"/>
      <c r="W78" s="42"/>
      <c r="X78" s="42"/>
      <c r="Y78" s="48"/>
      <c r="Z78" s="42"/>
      <c r="AA78" s="119"/>
      <c r="AB78" s="120"/>
      <c r="AC78" s="120"/>
      <c r="AD78" s="120"/>
    </row>
    <row r="79">
      <c r="A79" s="66"/>
      <c r="B79" s="24"/>
      <c r="C79" s="35"/>
      <c r="D79" s="77"/>
      <c r="E79" s="2"/>
      <c r="F79" s="9"/>
      <c r="G79" s="143"/>
      <c r="H79" s="142"/>
      <c r="I79" s="142"/>
      <c r="J79" s="42"/>
      <c r="K79" s="142"/>
      <c r="L79" s="2"/>
      <c r="M79" s="40"/>
      <c r="N79" s="37"/>
      <c r="O79" s="37"/>
      <c r="P79" s="38"/>
      <c r="Q79" s="38"/>
      <c r="R79" s="37"/>
      <c r="S79" s="3"/>
      <c r="T79" s="142"/>
      <c r="U79" s="142"/>
      <c r="V79" s="42"/>
      <c r="W79" s="42"/>
      <c r="X79" s="42"/>
      <c r="Y79" s="48"/>
      <c r="Z79" s="42"/>
      <c r="AA79" s="119"/>
      <c r="AB79" s="120"/>
      <c r="AC79" s="120"/>
      <c r="AD79" s="120"/>
    </row>
    <row r="80">
      <c r="A80" s="66"/>
      <c r="B80" s="24"/>
      <c r="C80" s="35"/>
      <c r="D80" s="77"/>
      <c r="E80" s="2"/>
      <c r="F80" s="9"/>
      <c r="G80" s="143"/>
      <c r="H80" s="142"/>
      <c r="I80" s="142"/>
      <c r="J80" s="42"/>
      <c r="K80" s="142"/>
      <c r="L80" s="2"/>
      <c r="M80" s="59"/>
      <c r="N80" s="60"/>
      <c r="O80" s="60"/>
      <c r="P80" s="60"/>
      <c r="Q80" s="62"/>
      <c r="R80" s="60"/>
      <c r="S80" s="3"/>
      <c r="T80" s="142"/>
      <c r="U80" s="142"/>
      <c r="V80" s="42"/>
      <c r="W80" s="42"/>
      <c r="X80" s="42"/>
      <c r="Y80" s="48"/>
      <c r="Z80" s="42"/>
      <c r="AA80" s="119"/>
      <c r="AB80" s="120"/>
      <c r="AC80" s="120"/>
      <c r="AD80" s="120"/>
    </row>
    <row r="81">
      <c r="A81" s="66"/>
      <c r="B81" s="24"/>
      <c r="C81" s="35"/>
      <c r="D81" s="77"/>
      <c r="E81" s="2"/>
      <c r="F81" s="9"/>
      <c r="G81" s="143"/>
      <c r="H81" s="142"/>
      <c r="I81" s="142"/>
      <c r="J81" s="42"/>
      <c r="K81" s="142"/>
      <c r="L81" s="2"/>
      <c r="M81" s="59"/>
      <c r="N81" s="60"/>
      <c r="O81" s="60"/>
      <c r="P81" s="60"/>
      <c r="Q81" s="62"/>
      <c r="R81" s="60"/>
      <c r="S81" s="3"/>
      <c r="T81" s="142"/>
      <c r="U81" s="142"/>
      <c r="V81" s="42"/>
      <c r="W81" s="42"/>
      <c r="X81" s="42"/>
      <c r="Y81" s="48"/>
      <c r="Z81" s="42"/>
      <c r="AA81" s="119"/>
      <c r="AB81" s="120"/>
      <c r="AC81" s="120"/>
      <c r="AD81" s="120"/>
    </row>
    <row r="82">
      <c r="A82" s="66"/>
      <c r="B82" s="24"/>
      <c r="C82" s="35"/>
      <c r="D82" s="77"/>
      <c r="E82" s="2"/>
      <c r="F82" s="9"/>
      <c r="G82" s="143"/>
      <c r="H82" s="142"/>
      <c r="I82" s="142"/>
      <c r="J82" s="42"/>
      <c r="K82" s="142"/>
      <c r="L82" s="2"/>
      <c r="M82" s="59"/>
      <c r="N82" s="60"/>
      <c r="O82" s="60"/>
      <c r="P82" s="60"/>
      <c r="Q82" s="62"/>
      <c r="R82" s="60"/>
      <c r="S82" s="3"/>
      <c r="T82" s="142"/>
      <c r="U82" s="142"/>
      <c r="V82" s="42"/>
      <c r="W82" s="42"/>
      <c r="X82" s="42"/>
      <c r="Y82" s="48"/>
      <c r="Z82" s="42"/>
      <c r="AA82" s="119"/>
      <c r="AB82" s="120"/>
      <c r="AC82" s="120"/>
      <c r="AD82" s="120"/>
    </row>
    <row r="83">
      <c r="A83" s="66"/>
      <c r="B83" s="24"/>
      <c r="C83" s="35"/>
      <c r="D83" s="77"/>
      <c r="E83" s="2"/>
      <c r="F83" s="9"/>
      <c r="G83" s="143"/>
      <c r="H83" s="142"/>
      <c r="I83" s="142"/>
      <c r="J83" s="42"/>
      <c r="K83" s="142"/>
      <c r="L83" s="2"/>
      <c r="M83" s="59"/>
      <c r="N83" s="60"/>
      <c r="O83" s="60"/>
      <c r="P83" s="60"/>
      <c r="Q83" s="62"/>
      <c r="R83" s="60"/>
      <c r="S83" s="3"/>
      <c r="T83" s="142"/>
      <c r="U83" s="142"/>
      <c r="V83" s="42"/>
      <c r="W83" s="42"/>
      <c r="X83" s="42"/>
      <c r="Y83" s="48"/>
      <c r="Z83" s="42"/>
      <c r="AA83" s="119"/>
      <c r="AB83" s="120"/>
      <c r="AC83" s="120"/>
      <c r="AD83" s="120"/>
    </row>
    <row r="84">
      <c r="A84" s="66"/>
      <c r="B84" s="24"/>
      <c r="C84" s="35"/>
      <c r="D84" s="77"/>
      <c r="E84" s="2"/>
      <c r="F84" s="9"/>
      <c r="G84" s="143"/>
      <c r="H84" s="142"/>
      <c r="I84" s="142"/>
      <c r="J84" s="42"/>
      <c r="K84" s="142"/>
      <c r="L84" s="2"/>
      <c r="M84" s="59"/>
      <c r="N84" s="60"/>
      <c r="O84" s="60"/>
      <c r="P84" s="61"/>
      <c r="Q84" s="62"/>
      <c r="R84" s="60"/>
      <c r="S84" s="3"/>
      <c r="T84" s="142"/>
      <c r="U84" s="142"/>
      <c r="V84" s="42"/>
      <c r="W84" s="42"/>
      <c r="X84" s="42"/>
      <c r="Y84" s="48"/>
      <c r="Z84" s="42"/>
      <c r="AA84" s="119"/>
      <c r="AB84" s="120"/>
      <c r="AC84" s="120"/>
      <c r="AD84" s="120"/>
    </row>
    <row r="85">
      <c r="A85" s="66"/>
      <c r="B85" s="24"/>
      <c r="C85" s="35"/>
      <c r="D85" s="77"/>
      <c r="E85" s="2"/>
      <c r="F85" s="9"/>
      <c r="G85" s="143"/>
      <c r="H85" s="142"/>
      <c r="I85" s="142"/>
      <c r="J85" s="42"/>
      <c r="K85" s="142"/>
      <c r="L85" s="2"/>
      <c r="M85" s="59"/>
      <c r="N85" s="60"/>
      <c r="O85" s="60"/>
      <c r="P85" s="60"/>
      <c r="Q85" s="62"/>
      <c r="R85" s="60"/>
      <c r="S85" s="3"/>
      <c r="T85" s="142"/>
      <c r="U85" s="142"/>
      <c r="V85" s="42"/>
      <c r="W85" s="42"/>
      <c r="X85" s="42"/>
      <c r="Y85" s="48"/>
      <c r="Z85" s="42"/>
      <c r="AA85" s="119"/>
      <c r="AB85" s="120"/>
      <c r="AC85" s="120"/>
      <c r="AD85" s="120"/>
    </row>
    <row r="86">
      <c r="A86" s="66"/>
      <c r="B86" s="24"/>
      <c r="C86" s="35"/>
      <c r="D86" s="77"/>
      <c r="E86" s="2"/>
      <c r="F86" s="9"/>
      <c r="G86" s="143"/>
      <c r="H86" s="142"/>
      <c r="I86" s="142"/>
      <c r="J86" s="42"/>
      <c r="K86" s="142"/>
      <c r="L86" s="2"/>
      <c r="M86" s="59"/>
      <c r="N86" s="60"/>
      <c r="O86" s="60"/>
      <c r="P86" s="60"/>
      <c r="Q86" s="62"/>
      <c r="R86" s="60"/>
      <c r="S86" s="3"/>
      <c r="T86" s="142"/>
      <c r="U86" s="142"/>
      <c r="V86" s="42"/>
      <c r="W86" s="42"/>
      <c r="X86" s="42"/>
      <c r="Y86" s="48"/>
      <c r="Z86" s="42"/>
      <c r="AA86" s="119"/>
      <c r="AB86" s="120"/>
      <c r="AC86" s="120"/>
      <c r="AD86" s="120"/>
    </row>
    <row r="87">
      <c r="A87" s="66"/>
      <c r="B87" s="24"/>
      <c r="C87" s="35"/>
      <c r="D87" s="77"/>
      <c r="E87" s="2"/>
      <c r="F87" s="9"/>
      <c r="G87" s="143"/>
      <c r="H87" s="142"/>
      <c r="I87" s="142"/>
      <c r="J87" s="42"/>
      <c r="K87" s="142"/>
      <c r="L87" s="2"/>
      <c r="M87" s="59"/>
      <c r="N87" s="60"/>
      <c r="O87" s="60"/>
      <c r="P87" s="60"/>
      <c r="Q87" s="62"/>
      <c r="R87" s="60"/>
      <c r="S87" s="3"/>
      <c r="T87" s="142"/>
      <c r="U87" s="142"/>
      <c r="V87" s="42"/>
      <c r="W87" s="42"/>
      <c r="X87" s="42"/>
      <c r="Y87" s="48"/>
      <c r="Z87" s="42"/>
      <c r="AA87" s="119"/>
      <c r="AB87" s="120"/>
      <c r="AC87" s="120"/>
      <c r="AD87" s="120"/>
    </row>
    <row r="88">
      <c r="A88" s="66"/>
      <c r="B88" s="24"/>
      <c r="C88" s="35"/>
      <c r="D88" s="77"/>
      <c r="E88" s="2"/>
      <c r="F88" s="9"/>
      <c r="G88" s="143"/>
      <c r="H88" s="142"/>
      <c r="I88" s="142"/>
      <c r="J88" s="42"/>
      <c r="K88" s="142"/>
      <c r="L88" s="2"/>
      <c r="M88" s="59"/>
      <c r="N88" s="60"/>
      <c r="O88" s="60"/>
      <c r="P88" s="60"/>
      <c r="Q88" s="62"/>
      <c r="R88" s="60"/>
      <c r="S88" s="3"/>
      <c r="T88" s="142"/>
      <c r="U88" s="142"/>
      <c r="V88" s="42"/>
      <c r="W88" s="42"/>
      <c r="X88" s="42"/>
      <c r="Y88" s="48"/>
      <c r="Z88" s="42"/>
      <c r="AA88" s="119"/>
      <c r="AB88" s="120"/>
      <c r="AC88" s="120"/>
      <c r="AD88" s="120"/>
    </row>
    <row r="89">
      <c r="A89" s="66"/>
      <c r="B89" s="24"/>
      <c r="C89" s="35"/>
      <c r="D89" s="77"/>
      <c r="E89" s="2"/>
      <c r="F89" s="9"/>
      <c r="G89" s="143"/>
      <c r="H89" s="142"/>
      <c r="I89" s="142"/>
      <c r="J89" s="42"/>
      <c r="K89" s="142"/>
      <c r="L89" s="2"/>
      <c r="M89" s="59"/>
      <c r="N89" s="60"/>
      <c r="O89" s="60"/>
      <c r="P89" s="60"/>
      <c r="Q89" s="62"/>
      <c r="R89" s="60"/>
      <c r="S89" s="3"/>
      <c r="T89" s="142"/>
      <c r="U89" s="142"/>
      <c r="V89" s="42"/>
      <c r="W89" s="42"/>
      <c r="X89" s="42"/>
      <c r="Y89" s="48"/>
      <c r="Z89" s="42"/>
      <c r="AA89" s="119"/>
      <c r="AB89" s="120"/>
      <c r="AC89" s="120"/>
      <c r="AD89" s="120"/>
    </row>
    <row r="90">
      <c r="A90" s="66"/>
      <c r="B90" s="24"/>
      <c r="C90" s="35"/>
      <c r="D90" s="77"/>
      <c r="E90" s="2"/>
      <c r="F90" s="9"/>
      <c r="G90" s="143"/>
      <c r="H90" s="142"/>
      <c r="I90" s="142"/>
      <c r="J90" s="42"/>
      <c r="K90" s="142"/>
      <c r="L90" s="2"/>
      <c r="M90" s="59"/>
      <c r="N90" s="60"/>
      <c r="O90" s="60"/>
      <c r="P90" s="60"/>
      <c r="Q90" s="62"/>
      <c r="R90" s="60"/>
      <c r="S90" s="3"/>
      <c r="T90" s="142"/>
      <c r="U90" s="142"/>
      <c r="V90" s="42"/>
      <c r="W90" s="42"/>
      <c r="X90" s="42"/>
      <c r="Y90" s="48"/>
      <c r="Z90" s="42"/>
      <c r="AA90" s="119"/>
      <c r="AB90" s="120"/>
      <c r="AC90" s="120"/>
      <c r="AD90" s="120"/>
    </row>
    <row r="91">
      <c r="A91" s="66"/>
      <c r="B91" s="24"/>
      <c r="C91" s="35"/>
      <c r="D91" s="77"/>
      <c r="E91" s="2"/>
      <c r="F91" s="9"/>
      <c r="G91" s="143"/>
      <c r="H91" s="142"/>
      <c r="I91" s="142"/>
      <c r="J91" s="42"/>
      <c r="K91" s="142"/>
      <c r="L91" s="2"/>
      <c r="M91" s="59"/>
      <c r="N91" s="60"/>
      <c r="O91" s="60"/>
      <c r="P91" s="60"/>
      <c r="Q91" s="62"/>
      <c r="R91" s="60"/>
      <c r="S91" s="3"/>
      <c r="T91" s="142"/>
      <c r="U91" s="142"/>
      <c r="V91" s="42"/>
      <c r="W91" s="42"/>
      <c r="X91" s="42"/>
      <c r="Y91" s="48"/>
      <c r="Z91" s="42"/>
      <c r="AA91" s="119"/>
      <c r="AB91" s="120"/>
      <c r="AC91" s="120"/>
      <c r="AD91" s="120"/>
    </row>
    <row r="92">
      <c r="A92" s="66"/>
      <c r="B92" s="24"/>
      <c r="C92" s="35"/>
      <c r="D92" s="77"/>
      <c r="E92" s="2"/>
      <c r="F92" s="9"/>
      <c r="G92" s="143"/>
      <c r="H92" s="142"/>
      <c r="I92" s="142"/>
      <c r="J92" s="42"/>
      <c r="K92" s="142"/>
      <c r="L92" s="2"/>
      <c r="M92" s="59"/>
      <c r="N92" s="60"/>
      <c r="O92" s="60"/>
      <c r="P92" s="60"/>
      <c r="Q92" s="62"/>
      <c r="R92" s="60"/>
      <c r="S92" s="3"/>
      <c r="T92" s="142"/>
      <c r="U92" s="142"/>
      <c r="V92" s="42"/>
      <c r="W92" s="42"/>
      <c r="X92" s="42"/>
      <c r="Y92" s="48"/>
      <c r="Z92" s="42"/>
      <c r="AA92" s="119"/>
      <c r="AB92" s="120"/>
      <c r="AC92" s="120"/>
      <c r="AD92" s="120"/>
    </row>
    <row r="93">
      <c r="A93" s="66"/>
      <c r="B93" s="24"/>
      <c r="C93" s="2"/>
      <c r="D93" s="2"/>
      <c r="E93" s="2"/>
      <c r="F93" s="9"/>
      <c r="G93" s="143"/>
      <c r="H93" s="142"/>
      <c r="I93" s="142"/>
      <c r="J93" s="42"/>
      <c r="K93" s="142"/>
      <c r="L93" s="2"/>
      <c r="M93" s="59"/>
      <c r="N93" s="60"/>
      <c r="O93" s="60"/>
      <c r="P93" s="60"/>
      <c r="Q93" s="62"/>
      <c r="R93" s="60"/>
      <c r="S93" s="3"/>
      <c r="T93" s="142"/>
      <c r="U93" s="142"/>
      <c r="V93" s="42"/>
      <c r="W93" s="42"/>
      <c r="X93" s="42"/>
      <c r="Y93" s="48"/>
      <c r="Z93" s="42"/>
      <c r="AA93" s="119"/>
      <c r="AB93" s="120"/>
      <c r="AC93" s="120"/>
      <c r="AD93" s="120"/>
    </row>
    <row r="94">
      <c r="A94" s="66"/>
      <c r="B94" s="24"/>
      <c r="C94" s="2"/>
      <c r="D94" s="2"/>
      <c r="E94" s="2"/>
      <c r="F94" s="9"/>
      <c r="G94" s="143"/>
      <c r="H94" s="142"/>
      <c r="I94" s="142"/>
      <c r="J94" s="42"/>
      <c r="K94" s="142"/>
      <c r="L94" s="2"/>
      <c r="M94" s="59"/>
      <c r="N94" s="60"/>
      <c r="O94" s="60"/>
      <c r="P94" s="60"/>
      <c r="Q94" s="62"/>
      <c r="R94" s="60"/>
      <c r="S94" s="3"/>
      <c r="T94" s="142"/>
      <c r="U94" s="142"/>
      <c r="V94" s="42"/>
      <c r="W94" s="42"/>
      <c r="X94" s="42"/>
      <c r="Y94" s="48"/>
      <c r="Z94" s="42"/>
      <c r="AA94" s="119"/>
      <c r="AB94" s="120"/>
      <c r="AC94" s="120"/>
      <c r="AD94" s="120"/>
    </row>
    <row r="95">
      <c r="A95" s="66"/>
      <c r="B95" s="24"/>
      <c r="C95" s="2"/>
      <c r="D95" s="2"/>
      <c r="E95" s="2"/>
      <c r="F95" s="9"/>
      <c r="G95" s="143"/>
      <c r="H95" s="142"/>
      <c r="I95" s="142"/>
      <c r="J95" s="42"/>
      <c r="K95" s="142"/>
      <c r="L95" s="2"/>
      <c r="M95" s="40"/>
      <c r="N95" s="37"/>
      <c r="O95" s="37"/>
      <c r="P95" s="89"/>
      <c r="Q95" s="38"/>
      <c r="R95" s="37"/>
      <c r="S95" s="3"/>
      <c r="T95" s="142"/>
      <c r="U95" s="142"/>
      <c r="V95" s="42"/>
      <c r="W95" s="42"/>
      <c r="X95" s="42"/>
      <c r="Y95" s="48"/>
      <c r="Z95" s="42"/>
      <c r="AA95" s="119"/>
      <c r="AB95" s="120"/>
      <c r="AC95" s="120"/>
      <c r="AD95" s="120"/>
    </row>
    <row r="96">
      <c r="A96" s="2"/>
      <c r="B96" s="2"/>
      <c r="C96" s="2"/>
      <c r="D96" s="2"/>
      <c r="E96" s="2"/>
      <c r="F96" s="4"/>
      <c r="G96" s="68"/>
      <c r="H96" s="69" t="s">
        <v>47</v>
      </c>
      <c r="I96" s="68"/>
      <c r="J96" s="70">
        <f>SUM(J9:J95)</f>
        <v>995.5</v>
      </c>
      <c r="K96" s="68"/>
      <c r="L96" s="144"/>
      <c r="M96" s="90"/>
      <c r="N96" s="30" t="s">
        <v>47</v>
      </c>
      <c r="O96" s="91"/>
      <c r="P96" s="92"/>
      <c r="Q96" s="92">
        <f>SUM(Q9:Q95)</f>
        <v>4201.39</v>
      </c>
      <c r="R96" s="91"/>
      <c r="S96" s="144"/>
      <c r="T96" s="145"/>
      <c r="U96" s="50" t="s">
        <v>47</v>
      </c>
      <c r="V96" s="51">
        <f>SUM(V9:V95)</f>
        <v>0</v>
      </c>
      <c r="W96" s="52"/>
      <c r="X96" s="52"/>
      <c r="Y96" s="53" t="str">
        <f>(V9:V96/Z9:Z96)</f>
        <v>#DIV/0!</v>
      </c>
      <c r="Z96" s="52">
        <f>SUM(Z9:Z95)</f>
        <v>0</v>
      </c>
      <c r="AA96" s="119"/>
      <c r="AB96" s="120"/>
      <c r="AC96" s="120"/>
      <c r="AD96" s="120"/>
    </row>
    <row r="97">
      <c r="A97" s="2"/>
      <c r="B97" s="2"/>
      <c r="C97" s="15"/>
      <c r="D97" s="15"/>
      <c r="E97" s="2"/>
      <c r="F97" s="2"/>
      <c r="G97" s="15"/>
      <c r="H97" s="15"/>
      <c r="I97" s="15"/>
      <c r="J97" s="15"/>
      <c r="K97" s="15"/>
      <c r="L97" s="2"/>
      <c r="M97" s="2"/>
      <c r="N97" s="2"/>
      <c r="O97" s="2"/>
      <c r="P97" s="2"/>
      <c r="Q97" s="2"/>
      <c r="R97" s="2"/>
      <c r="S97" s="15"/>
      <c r="T97" s="2"/>
      <c r="U97" s="2"/>
      <c r="V97" s="2"/>
      <c r="W97" s="15"/>
      <c r="X97" s="15"/>
      <c r="Y97" s="15"/>
      <c r="Z97" s="15"/>
      <c r="AA97" s="105"/>
      <c r="AB97" s="105"/>
      <c r="AC97" s="105"/>
      <c r="AD97" s="105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105"/>
      <c r="AB98" s="105"/>
      <c r="AC98" s="105"/>
      <c r="AD98" s="105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105"/>
      <c r="AB99" s="105"/>
      <c r="AC99" s="105"/>
      <c r="AD99" s="105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105"/>
      <c r="AB100" s="105"/>
      <c r="AC100" s="105"/>
      <c r="AD100" s="105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105"/>
      <c r="AB101" s="105"/>
      <c r="AC101" s="105"/>
      <c r="AD101" s="105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105"/>
      <c r="AB102" s="105"/>
      <c r="AC102" s="105"/>
      <c r="AD102" s="105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105"/>
      <c r="AB103" s="105"/>
      <c r="AC103" s="105"/>
      <c r="AD103" s="105"/>
    </row>
    <row r="104">
      <c r="A104" s="2"/>
      <c r="B104" s="2"/>
      <c r="C104" s="78"/>
      <c r="D104" s="78"/>
      <c r="E104" s="78"/>
      <c r="F104" s="2"/>
      <c r="G104" s="2"/>
      <c r="H104" s="2"/>
      <c r="I104" s="2"/>
      <c r="J104" s="2"/>
      <c r="K104" s="2"/>
      <c r="L104" s="2"/>
      <c r="M104" s="93" t="s">
        <v>150</v>
      </c>
      <c r="N104" s="17"/>
      <c r="O104" s="17"/>
      <c r="P104" s="17"/>
      <c r="Q104" s="17"/>
      <c r="R104" s="18"/>
      <c r="S104" s="2"/>
      <c r="T104" s="2"/>
      <c r="U104" s="2"/>
      <c r="V104" s="2"/>
      <c r="W104" s="2"/>
      <c r="X104" s="2"/>
      <c r="Y104" s="2"/>
      <c r="Z104" s="2"/>
      <c r="AA104" s="105"/>
      <c r="AB104" s="105"/>
      <c r="AC104" s="105"/>
      <c r="AD104" s="105"/>
    </row>
    <row r="105">
      <c r="A105" s="2"/>
      <c r="B105" s="2"/>
      <c r="C105" s="78"/>
      <c r="D105" s="78"/>
      <c r="E105" s="78"/>
      <c r="F105" s="2"/>
      <c r="G105" s="2"/>
      <c r="H105" s="2"/>
      <c r="I105" s="2"/>
      <c r="J105" s="2"/>
      <c r="K105" s="2"/>
      <c r="L105" s="2"/>
      <c r="M105" s="94" t="s">
        <v>5</v>
      </c>
      <c r="N105" s="94" t="s">
        <v>6</v>
      </c>
      <c r="O105" s="94" t="s">
        <v>9</v>
      </c>
      <c r="P105" s="95" t="s">
        <v>10</v>
      </c>
      <c r="Q105" s="95" t="s">
        <v>7</v>
      </c>
      <c r="R105" s="94" t="s">
        <v>8</v>
      </c>
      <c r="S105" s="2"/>
      <c r="T105" s="2"/>
      <c r="U105" s="2"/>
      <c r="V105" s="2"/>
      <c r="W105" s="2"/>
      <c r="X105" s="2"/>
      <c r="Y105" s="2"/>
      <c r="Z105" s="2"/>
      <c r="AA105" s="105"/>
      <c r="AB105" s="105"/>
      <c r="AC105" s="105"/>
      <c r="AD105" s="105"/>
    </row>
    <row r="106">
      <c r="A106" s="2"/>
      <c r="B106" s="2"/>
      <c r="C106" s="78"/>
      <c r="D106" s="78"/>
      <c r="E106" s="78"/>
      <c r="F106" s="2"/>
      <c r="G106" s="2"/>
      <c r="H106" s="2"/>
      <c r="I106" s="2"/>
      <c r="J106" s="2"/>
      <c r="K106" s="2"/>
      <c r="L106" s="2"/>
      <c r="M106" s="40">
        <v>45751.0</v>
      </c>
      <c r="N106" s="37" t="s">
        <v>20</v>
      </c>
      <c r="O106" s="37" t="s">
        <v>16</v>
      </c>
      <c r="P106" s="36" t="s">
        <v>233</v>
      </c>
      <c r="Q106" s="38">
        <v>99.99</v>
      </c>
      <c r="R106" s="37" t="s">
        <v>21</v>
      </c>
      <c r="S106" s="2"/>
      <c r="T106" s="2"/>
      <c r="U106" s="2"/>
      <c r="V106" s="2"/>
      <c r="W106" s="2"/>
      <c r="X106" s="2"/>
      <c r="Y106" s="2"/>
      <c r="Z106" s="2"/>
      <c r="AA106" s="105"/>
      <c r="AB106" s="105"/>
      <c r="AC106" s="105"/>
      <c r="AD106" s="105"/>
    </row>
    <row r="107">
      <c r="A107" s="2"/>
      <c r="B107" s="2"/>
      <c r="C107" s="78"/>
      <c r="D107" s="78"/>
      <c r="E107" s="78"/>
      <c r="F107" s="2"/>
      <c r="G107" s="2"/>
      <c r="H107" s="2"/>
      <c r="I107" s="2"/>
      <c r="J107" s="2"/>
      <c r="K107" s="2"/>
      <c r="L107" s="2"/>
      <c r="M107" s="40">
        <v>45905.0</v>
      </c>
      <c r="N107" s="37" t="s">
        <v>51</v>
      </c>
      <c r="O107" s="37" t="s">
        <v>16</v>
      </c>
      <c r="P107" s="36" t="s">
        <v>234</v>
      </c>
      <c r="Q107" s="38">
        <v>100.07</v>
      </c>
      <c r="R107" s="37" t="s">
        <v>17</v>
      </c>
      <c r="S107" s="2"/>
      <c r="T107" s="2"/>
      <c r="U107" s="2"/>
      <c r="V107" s="2"/>
      <c r="W107" s="2"/>
      <c r="X107" s="2"/>
      <c r="Y107" s="2"/>
      <c r="Z107" s="2"/>
      <c r="AA107" s="105"/>
      <c r="AB107" s="105"/>
      <c r="AC107" s="105"/>
      <c r="AD107" s="105"/>
    </row>
    <row r="108">
      <c r="A108" s="2"/>
      <c r="B108" s="2"/>
      <c r="C108" s="78"/>
      <c r="D108" s="78"/>
      <c r="E108" s="78"/>
      <c r="F108" s="2"/>
      <c r="G108" s="2"/>
      <c r="H108" s="2"/>
      <c r="I108" s="2"/>
      <c r="J108" s="2"/>
      <c r="K108" s="2"/>
      <c r="L108" s="2"/>
      <c r="M108" s="96">
        <v>45926.0</v>
      </c>
      <c r="N108" s="97" t="s">
        <v>88</v>
      </c>
      <c r="O108" s="97" t="s">
        <v>55</v>
      </c>
      <c r="P108" s="114" t="s">
        <v>155</v>
      </c>
      <c r="Q108" s="99">
        <v>106.66</v>
      </c>
      <c r="R108" s="97" t="s">
        <v>17</v>
      </c>
      <c r="S108" s="2"/>
      <c r="T108" s="2"/>
      <c r="U108" s="2"/>
      <c r="V108" s="2"/>
      <c r="W108" s="2"/>
      <c r="X108" s="2"/>
      <c r="Y108" s="2"/>
      <c r="Z108" s="2"/>
      <c r="AA108" s="105"/>
      <c r="AB108" s="105"/>
      <c r="AC108" s="105"/>
      <c r="AD108" s="105"/>
    </row>
    <row r="109">
      <c r="A109" s="2"/>
      <c r="B109" s="2"/>
      <c r="C109" s="78"/>
      <c r="D109" s="78"/>
      <c r="E109" s="78"/>
      <c r="F109" s="2"/>
      <c r="G109" s="2"/>
      <c r="H109" s="2"/>
      <c r="I109" s="2"/>
      <c r="J109" s="2"/>
      <c r="K109" s="2"/>
      <c r="L109" s="2"/>
      <c r="M109" s="96">
        <v>45926.0</v>
      </c>
      <c r="N109" s="97" t="s">
        <v>88</v>
      </c>
      <c r="O109" s="97" t="s">
        <v>55</v>
      </c>
      <c r="P109" s="114" t="s">
        <v>155</v>
      </c>
      <c r="Q109" s="99">
        <v>106.66</v>
      </c>
      <c r="R109" s="97" t="s">
        <v>17</v>
      </c>
      <c r="S109" s="2"/>
      <c r="T109" s="2"/>
      <c r="U109" s="2"/>
      <c r="V109" s="2"/>
      <c r="W109" s="2"/>
      <c r="X109" s="2"/>
      <c r="Y109" s="2"/>
      <c r="Z109" s="2"/>
      <c r="AA109" s="105"/>
      <c r="AB109" s="105"/>
      <c r="AC109" s="105"/>
      <c r="AD109" s="105"/>
    </row>
    <row r="110">
      <c r="A110" s="2"/>
      <c r="B110" s="2"/>
      <c r="C110" s="78"/>
      <c r="D110" s="78"/>
      <c r="E110" s="78"/>
      <c r="F110" s="2"/>
      <c r="G110" s="2"/>
      <c r="H110" s="2"/>
      <c r="I110" s="2"/>
      <c r="J110" s="2"/>
      <c r="K110" s="2"/>
      <c r="L110" s="2"/>
      <c r="M110" s="96">
        <v>45946.0</v>
      </c>
      <c r="N110" s="97" t="s">
        <v>139</v>
      </c>
      <c r="O110" s="97" t="s">
        <v>133</v>
      </c>
      <c r="P110" s="114" t="s">
        <v>235</v>
      </c>
      <c r="Q110" s="99">
        <v>99.82</v>
      </c>
      <c r="R110" s="97" t="s">
        <v>17</v>
      </c>
      <c r="S110" s="2"/>
      <c r="T110" s="2"/>
      <c r="U110" s="2"/>
      <c r="V110" s="2"/>
      <c r="W110" s="2"/>
      <c r="X110" s="2"/>
      <c r="Y110" s="2"/>
      <c r="Z110" s="2"/>
      <c r="AA110" s="105"/>
      <c r="AB110" s="105"/>
      <c r="AC110" s="105"/>
      <c r="AD110" s="105"/>
    </row>
    <row r="111">
      <c r="A111" s="2"/>
      <c r="B111" s="2"/>
      <c r="C111" s="78"/>
      <c r="D111" s="78"/>
      <c r="E111" s="78"/>
      <c r="F111" s="2"/>
      <c r="G111" s="2"/>
      <c r="H111" s="2"/>
      <c r="I111" s="2"/>
      <c r="J111" s="2"/>
      <c r="K111" s="2"/>
      <c r="L111" s="2"/>
      <c r="M111" s="59">
        <v>45952.0</v>
      </c>
      <c r="N111" s="60" t="s">
        <v>175</v>
      </c>
      <c r="O111" s="60" t="s">
        <v>59</v>
      </c>
      <c r="P111" s="114" t="s">
        <v>236</v>
      </c>
      <c r="Q111" s="62">
        <v>133.22</v>
      </c>
      <c r="R111" s="60" t="s">
        <v>17</v>
      </c>
      <c r="S111" s="2"/>
      <c r="T111" s="2"/>
      <c r="U111" s="2"/>
      <c r="V111" s="2"/>
      <c r="W111" s="2"/>
      <c r="X111" s="2"/>
      <c r="Y111" s="2"/>
      <c r="Z111" s="2"/>
      <c r="AA111" s="105"/>
      <c r="AB111" s="105"/>
      <c r="AC111" s="105"/>
      <c r="AD111" s="105"/>
    </row>
    <row r="112">
      <c r="A112" s="2"/>
      <c r="B112" s="2"/>
      <c r="C112" s="78"/>
      <c r="D112" s="78"/>
      <c r="E112" s="78"/>
      <c r="F112" s="2"/>
      <c r="G112" s="2"/>
      <c r="H112" s="2"/>
      <c r="I112" s="2"/>
      <c r="J112" s="2"/>
      <c r="K112" s="2"/>
      <c r="L112" s="2"/>
      <c r="M112" s="59">
        <v>45952.0</v>
      </c>
      <c r="N112" s="60" t="s">
        <v>172</v>
      </c>
      <c r="O112" s="60" t="s">
        <v>27</v>
      </c>
      <c r="P112" s="114" t="s">
        <v>159</v>
      </c>
      <c r="Q112" s="62">
        <v>58.52</v>
      </c>
      <c r="R112" s="60" t="s">
        <v>17</v>
      </c>
      <c r="S112" s="2"/>
      <c r="T112" s="2"/>
      <c r="U112" s="2"/>
      <c r="V112" s="2"/>
      <c r="W112" s="2"/>
      <c r="X112" s="2"/>
      <c r="Y112" s="2"/>
      <c r="Z112" s="2"/>
      <c r="AA112" s="105"/>
      <c r="AB112" s="105"/>
      <c r="AC112" s="105"/>
      <c r="AD112" s="105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96">
        <v>45971.0</v>
      </c>
      <c r="N113" s="141" t="s">
        <v>209</v>
      </c>
      <c r="O113" s="141" t="s">
        <v>55</v>
      </c>
      <c r="P113" s="114" t="s">
        <v>162</v>
      </c>
      <c r="Q113" s="99">
        <v>77.93</v>
      </c>
      <c r="R113" s="141" t="s">
        <v>17</v>
      </c>
      <c r="S113" s="2"/>
      <c r="T113" s="2"/>
      <c r="U113" s="2"/>
      <c r="V113" s="2"/>
      <c r="W113" s="2"/>
      <c r="X113" s="2"/>
      <c r="Y113" s="2"/>
      <c r="Z113" s="2"/>
      <c r="AA113" s="105"/>
      <c r="AB113" s="105"/>
      <c r="AC113" s="105"/>
      <c r="AD113" s="105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96">
        <v>45972.0</v>
      </c>
      <c r="N114" s="141" t="s">
        <v>211</v>
      </c>
      <c r="O114" s="141" t="s">
        <v>55</v>
      </c>
      <c r="P114" s="114" t="s">
        <v>162</v>
      </c>
      <c r="Q114" s="99">
        <v>151.09</v>
      </c>
      <c r="R114" s="141" t="s">
        <v>17</v>
      </c>
      <c r="S114" s="2"/>
      <c r="T114" s="2"/>
      <c r="U114" s="2"/>
      <c r="V114" s="2"/>
      <c r="W114" s="2"/>
      <c r="X114" s="2"/>
      <c r="Y114" s="2"/>
      <c r="Z114" s="2"/>
      <c r="AA114" s="105"/>
      <c r="AB114" s="105"/>
      <c r="AC114" s="105"/>
      <c r="AD114" s="105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59">
        <v>45978.0</v>
      </c>
      <c r="N115" s="60" t="s">
        <v>223</v>
      </c>
      <c r="O115" s="60" t="s">
        <v>27</v>
      </c>
      <c r="P115" s="114" t="s">
        <v>159</v>
      </c>
      <c r="Q115" s="62">
        <v>118.41</v>
      </c>
      <c r="R115" s="60" t="s">
        <v>17</v>
      </c>
      <c r="S115" s="2"/>
      <c r="T115" s="2"/>
      <c r="U115" s="2"/>
      <c r="V115" s="2"/>
      <c r="W115" s="2"/>
      <c r="X115" s="2"/>
      <c r="Y115" s="2"/>
      <c r="Z115" s="2"/>
      <c r="AA115" s="105"/>
      <c r="AB115" s="105"/>
      <c r="AC115" s="105"/>
      <c r="AD115" s="105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96"/>
      <c r="N116" s="97"/>
      <c r="O116" s="97"/>
      <c r="P116" s="114"/>
      <c r="Q116" s="99"/>
      <c r="R116" s="97"/>
      <c r="S116" s="2"/>
      <c r="T116" s="2"/>
      <c r="U116" s="2"/>
      <c r="V116" s="2"/>
      <c r="W116" s="2"/>
      <c r="X116" s="2"/>
      <c r="Y116" s="2"/>
      <c r="Z116" s="2"/>
      <c r="AA116" s="105"/>
      <c r="AB116" s="105"/>
      <c r="AC116" s="105"/>
      <c r="AD116" s="105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96"/>
      <c r="N117" s="97"/>
      <c r="O117" s="97"/>
      <c r="P117" s="114"/>
      <c r="Q117" s="99"/>
      <c r="R117" s="97"/>
      <c r="S117" s="2"/>
      <c r="T117" s="2"/>
      <c r="U117" s="2"/>
      <c r="V117" s="2"/>
      <c r="W117" s="2"/>
      <c r="X117" s="2"/>
      <c r="Y117" s="2"/>
      <c r="Z117" s="2"/>
      <c r="AA117" s="105"/>
      <c r="AB117" s="105"/>
      <c r="AC117" s="105"/>
      <c r="AD117" s="105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4"/>
      <c r="M118" s="96"/>
      <c r="N118" s="97"/>
      <c r="O118" s="97"/>
      <c r="P118" s="114"/>
      <c r="Q118" s="99"/>
      <c r="R118" s="97"/>
      <c r="S118" s="9"/>
      <c r="T118" s="2"/>
      <c r="U118" s="2"/>
      <c r="V118" s="2"/>
      <c r="W118" s="2"/>
      <c r="X118" s="2"/>
      <c r="Y118" s="2"/>
      <c r="Z118" s="2"/>
      <c r="AA118" s="105"/>
      <c r="AB118" s="105"/>
      <c r="AC118" s="105"/>
      <c r="AD118" s="105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4"/>
      <c r="M119" s="96"/>
      <c r="N119" s="97"/>
      <c r="O119" s="97"/>
      <c r="P119" s="114"/>
      <c r="Q119" s="99"/>
      <c r="R119" s="97"/>
      <c r="S119" s="9"/>
      <c r="T119" s="2"/>
      <c r="U119" s="2"/>
      <c r="V119" s="2"/>
      <c r="W119" s="2"/>
      <c r="X119" s="2"/>
      <c r="Y119" s="2"/>
      <c r="Z119" s="2"/>
      <c r="AA119" s="105"/>
      <c r="AB119" s="105"/>
      <c r="AC119" s="105"/>
      <c r="AD119" s="105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4"/>
      <c r="M120" s="96"/>
      <c r="N120" s="97"/>
      <c r="O120" s="97"/>
      <c r="P120" s="114"/>
      <c r="Q120" s="99"/>
      <c r="R120" s="97"/>
      <c r="S120" s="9"/>
      <c r="T120" s="2"/>
      <c r="U120" s="2"/>
      <c r="V120" s="2"/>
      <c r="W120" s="2"/>
      <c r="X120" s="2"/>
      <c r="Y120" s="2"/>
      <c r="Z120" s="2"/>
      <c r="AA120" s="105"/>
      <c r="AB120" s="105"/>
      <c r="AC120" s="105"/>
      <c r="AD120" s="105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4"/>
      <c r="M121" s="102"/>
      <c r="N121" s="103" t="s">
        <v>47</v>
      </c>
      <c r="O121" s="102"/>
      <c r="P121" s="104"/>
      <c r="Q121" s="104">
        <f>SUM(Q106:Q117)</f>
        <v>1052.37</v>
      </c>
      <c r="R121" s="102"/>
      <c r="S121" s="2"/>
      <c r="T121" s="2"/>
      <c r="U121" s="2"/>
      <c r="V121" s="2"/>
      <c r="W121" s="2"/>
      <c r="X121" s="2"/>
      <c r="Y121" s="2"/>
      <c r="Z121" s="2"/>
      <c r="AA121" s="105"/>
      <c r="AB121" s="105"/>
      <c r="AC121" s="105"/>
      <c r="AD121" s="105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5"/>
      <c r="N122" s="15"/>
      <c r="O122" s="15"/>
      <c r="P122" s="15"/>
      <c r="Q122" s="15"/>
      <c r="R122" s="15"/>
      <c r="S122" s="2"/>
      <c r="T122" s="2"/>
      <c r="U122" s="2"/>
      <c r="V122" s="2"/>
      <c r="W122" s="2"/>
      <c r="X122" s="2"/>
      <c r="Y122" s="2"/>
      <c r="Z122" s="2"/>
      <c r="AA122" s="105"/>
      <c r="AB122" s="105"/>
      <c r="AC122" s="105"/>
      <c r="AD122" s="105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105"/>
      <c r="AB123" s="105"/>
      <c r="AC123" s="105"/>
      <c r="AD123" s="105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105"/>
      <c r="AB124" s="105"/>
      <c r="AC124" s="105"/>
      <c r="AD124" s="105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105"/>
      <c r="AB125" s="105"/>
      <c r="AC125" s="105"/>
      <c r="AD125" s="105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105"/>
      <c r="AB126" s="105"/>
      <c r="AC126" s="105"/>
      <c r="AD126" s="105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105"/>
      <c r="AB127" s="105"/>
      <c r="AC127" s="105"/>
      <c r="AD127" s="105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105"/>
      <c r="AB128" s="105"/>
      <c r="AC128" s="105"/>
      <c r="AD128" s="105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105"/>
      <c r="AB129" s="105"/>
      <c r="AC129" s="105"/>
      <c r="AD129" s="105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105"/>
      <c r="AB130" s="105"/>
      <c r="AC130" s="105"/>
      <c r="AD130" s="105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105"/>
      <c r="AB131" s="105"/>
      <c r="AC131" s="105"/>
      <c r="AD131" s="105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105"/>
      <c r="AB132" s="105"/>
      <c r="AC132" s="105"/>
      <c r="AD132" s="105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105"/>
      <c r="AB133" s="105"/>
      <c r="AC133" s="105"/>
      <c r="AD133" s="105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105"/>
      <c r="AB134" s="105"/>
      <c r="AC134" s="105"/>
      <c r="AD134" s="105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105"/>
      <c r="AB135" s="105"/>
      <c r="AC135" s="105"/>
      <c r="AD135" s="105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105"/>
      <c r="AB136" s="105"/>
      <c r="AC136" s="105"/>
      <c r="AD136" s="105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105"/>
      <c r="AB137" s="105"/>
      <c r="AC137" s="105"/>
      <c r="AD137" s="105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105"/>
      <c r="AB138" s="105"/>
      <c r="AC138" s="105"/>
      <c r="AD138" s="105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105"/>
      <c r="AB139" s="105"/>
      <c r="AC139" s="105"/>
      <c r="AD139" s="105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105"/>
      <c r="AB140" s="105"/>
      <c r="AC140" s="105"/>
      <c r="AD140" s="105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105"/>
      <c r="AB141" s="105"/>
      <c r="AC141" s="105"/>
      <c r="AD141" s="105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105"/>
      <c r="AB142" s="105"/>
      <c r="AC142" s="105"/>
      <c r="AD142" s="105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105"/>
      <c r="AB143" s="105"/>
      <c r="AC143" s="105"/>
      <c r="AD143" s="105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105"/>
      <c r="AB144" s="105"/>
      <c r="AC144" s="105"/>
      <c r="AD144" s="105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105"/>
      <c r="AB145" s="105"/>
      <c r="AC145" s="105"/>
      <c r="AD145" s="105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105"/>
      <c r="AB146" s="105"/>
      <c r="AC146" s="105"/>
      <c r="AD146" s="105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105"/>
      <c r="AB147" s="105"/>
      <c r="AC147" s="105"/>
      <c r="AD147" s="105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105"/>
      <c r="AB148" s="105"/>
      <c r="AC148" s="105"/>
      <c r="AD148" s="105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105"/>
      <c r="AB149" s="105"/>
      <c r="AC149" s="105"/>
      <c r="AD149" s="105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105"/>
      <c r="AB150" s="105"/>
      <c r="AC150" s="105"/>
      <c r="AD150" s="105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105"/>
      <c r="AB151" s="105"/>
      <c r="AC151" s="105"/>
      <c r="AD151" s="105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105"/>
      <c r="AB152" s="105"/>
      <c r="AC152" s="105"/>
      <c r="AD152" s="105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105"/>
      <c r="AB153" s="105"/>
      <c r="AC153" s="105"/>
      <c r="AD153" s="105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105"/>
      <c r="AB154" s="105"/>
      <c r="AC154" s="105"/>
      <c r="AD154" s="105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105"/>
      <c r="AB155" s="105"/>
      <c r="AC155" s="105"/>
      <c r="AD155" s="105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105"/>
      <c r="AB156" s="105"/>
      <c r="AC156" s="105"/>
      <c r="AD156" s="105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105"/>
      <c r="AB157" s="105"/>
      <c r="AC157" s="105"/>
      <c r="AD157" s="105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105"/>
      <c r="AB158" s="105"/>
      <c r="AC158" s="105"/>
      <c r="AD158" s="105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105"/>
      <c r="AB159" s="105"/>
      <c r="AC159" s="105"/>
      <c r="AD159" s="105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105"/>
      <c r="AB160" s="105"/>
      <c r="AC160" s="105"/>
      <c r="AD160" s="105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105"/>
      <c r="AB161" s="105"/>
      <c r="AC161" s="105"/>
      <c r="AD161" s="105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105"/>
      <c r="AB162" s="105"/>
      <c r="AC162" s="105"/>
      <c r="AD162" s="105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105"/>
      <c r="AB163" s="105"/>
      <c r="AC163" s="105"/>
      <c r="AD163" s="105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105"/>
      <c r="AB164" s="105"/>
      <c r="AC164" s="105"/>
      <c r="AD164" s="105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105"/>
      <c r="AB165" s="105"/>
      <c r="AC165" s="105"/>
      <c r="AD165" s="105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105"/>
      <c r="AB166" s="105"/>
      <c r="AC166" s="105"/>
      <c r="AD166" s="105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105"/>
      <c r="AB167" s="105"/>
      <c r="AC167" s="105"/>
      <c r="AD167" s="105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105"/>
      <c r="AB168" s="105"/>
      <c r="AC168" s="105"/>
      <c r="AD168" s="105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105"/>
      <c r="AB169" s="105"/>
      <c r="AC169" s="105"/>
      <c r="AD169" s="105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105"/>
      <c r="AB170" s="105"/>
      <c r="AC170" s="105"/>
      <c r="AD170" s="105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105"/>
      <c r="AB171" s="105"/>
      <c r="AC171" s="105"/>
      <c r="AD171" s="105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105"/>
      <c r="AB172" s="105"/>
      <c r="AC172" s="105"/>
      <c r="AD172" s="105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105"/>
      <c r="AB173" s="105"/>
      <c r="AC173" s="105"/>
      <c r="AD173" s="105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105"/>
      <c r="AB174" s="105"/>
      <c r="AC174" s="105"/>
      <c r="AD174" s="105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105"/>
      <c r="AB175" s="105"/>
      <c r="AC175" s="105"/>
      <c r="AD175" s="105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105"/>
      <c r="AB176" s="105"/>
      <c r="AC176" s="105"/>
      <c r="AD176" s="105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105"/>
      <c r="AB177" s="105"/>
      <c r="AC177" s="105"/>
      <c r="AD177" s="105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105"/>
      <c r="AB178" s="105"/>
      <c r="AC178" s="105"/>
      <c r="AD178" s="105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105"/>
      <c r="AB179" s="105"/>
      <c r="AC179" s="105"/>
      <c r="AD179" s="105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105"/>
      <c r="AB180" s="105"/>
      <c r="AC180" s="105"/>
      <c r="AD180" s="105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105"/>
      <c r="AB181" s="105"/>
      <c r="AC181" s="105"/>
      <c r="AD181" s="105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105"/>
      <c r="AB182" s="105"/>
      <c r="AC182" s="105"/>
      <c r="AD182" s="105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105"/>
      <c r="AB183" s="105"/>
      <c r="AC183" s="105"/>
      <c r="AD183" s="105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105"/>
      <c r="AB184" s="105"/>
      <c r="AC184" s="105"/>
      <c r="AD184" s="105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105"/>
      <c r="AB185" s="105"/>
      <c r="AC185" s="105"/>
      <c r="AD185" s="105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105"/>
      <c r="AB186" s="105"/>
      <c r="AC186" s="105"/>
      <c r="AD186" s="105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105"/>
      <c r="AB187" s="105"/>
      <c r="AC187" s="105"/>
      <c r="AD187" s="105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105"/>
      <c r="AB188" s="105"/>
      <c r="AC188" s="105"/>
      <c r="AD188" s="105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105"/>
      <c r="AB189" s="105"/>
      <c r="AC189" s="105"/>
      <c r="AD189" s="105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105"/>
      <c r="AB190" s="105"/>
      <c r="AC190" s="105"/>
      <c r="AD190" s="105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105"/>
      <c r="AB191" s="105"/>
      <c r="AC191" s="105"/>
      <c r="AD191" s="105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105"/>
      <c r="AB192" s="105"/>
      <c r="AC192" s="105"/>
      <c r="AD192" s="105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105"/>
      <c r="AB193" s="105"/>
      <c r="AC193" s="105"/>
      <c r="AD193" s="105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105"/>
      <c r="AB194" s="105"/>
      <c r="AC194" s="105"/>
      <c r="AD194" s="105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105"/>
      <c r="AB195" s="105"/>
      <c r="AC195" s="105"/>
      <c r="AD195" s="105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105"/>
      <c r="AB196" s="105"/>
      <c r="AC196" s="105"/>
      <c r="AD196" s="105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105"/>
      <c r="AB197" s="105"/>
      <c r="AC197" s="105"/>
      <c r="AD197" s="105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105"/>
      <c r="AB198" s="105"/>
      <c r="AC198" s="105"/>
      <c r="AD198" s="105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105"/>
      <c r="AB199" s="105"/>
      <c r="AC199" s="105"/>
      <c r="AD199" s="105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105"/>
      <c r="AB200" s="105"/>
      <c r="AC200" s="105"/>
      <c r="AD200" s="105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105"/>
      <c r="AB201" s="105"/>
      <c r="AC201" s="105"/>
      <c r="AD201" s="105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105"/>
      <c r="AB202" s="105"/>
      <c r="AC202" s="105"/>
      <c r="AD202" s="105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105"/>
      <c r="AB203" s="105"/>
      <c r="AC203" s="105"/>
      <c r="AD203" s="105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105"/>
      <c r="AB204" s="105"/>
      <c r="AC204" s="105"/>
      <c r="AD204" s="105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105"/>
      <c r="AB205" s="105"/>
      <c r="AC205" s="105"/>
      <c r="AD205" s="105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105"/>
      <c r="AB206" s="105"/>
      <c r="AC206" s="105"/>
      <c r="AD206" s="105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105"/>
      <c r="AB207" s="105"/>
      <c r="AC207" s="105"/>
      <c r="AD207" s="105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105"/>
      <c r="AB208" s="105"/>
      <c r="AC208" s="105"/>
      <c r="AD208" s="105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105"/>
      <c r="AB209" s="105"/>
      <c r="AC209" s="105"/>
      <c r="AD209" s="105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105"/>
      <c r="AB210" s="105"/>
      <c r="AC210" s="105"/>
      <c r="AD210" s="105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105"/>
      <c r="AB211" s="105"/>
      <c r="AC211" s="105"/>
      <c r="AD211" s="105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105"/>
      <c r="AB212" s="105"/>
      <c r="AC212" s="105"/>
      <c r="AD212" s="105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105"/>
      <c r="AB213" s="105"/>
      <c r="AC213" s="105"/>
      <c r="AD213" s="105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105"/>
      <c r="AB214" s="105"/>
      <c r="AC214" s="105"/>
      <c r="AD214" s="105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105"/>
      <c r="AB215" s="105"/>
      <c r="AC215" s="105"/>
      <c r="AD215" s="105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105"/>
      <c r="AB216" s="105"/>
      <c r="AC216" s="105"/>
      <c r="AD216" s="105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105"/>
      <c r="AB217" s="105"/>
      <c r="AC217" s="105"/>
      <c r="AD217" s="105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105"/>
      <c r="AB218" s="105"/>
      <c r="AC218" s="105"/>
      <c r="AD218" s="105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105"/>
      <c r="AB219" s="105"/>
      <c r="AC219" s="105"/>
      <c r="AD219" s="105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105"/>
      <c r="AB220" s="105"/>
      <c r="AC220" s="105"/>
      <c r="AD220" s="105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105"/>
      <c r="AB221" s="105"/>
      <c r="AC221" s="105"/>
      <c r="AD221" s="105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105"/>
      <c r="AB222" s="105"/>
      <c r="AC222" s="105"/>
      <c r="AD222" s="105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105"/>
      <c r="AB223" s="105"/>
      <c r="AC223" s="105"/>
      <c r="AD223" s="105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105"/>
      <c r="AB224" s="105"/>
      <c r="AC224" s="105"/>
      <c r="AD224" s="105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105"/>
      <c r="AB225" s="105"/>
      <c r="AC225" s="105"/>
      <c r="AD225" s="105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105"/>
      <c r="AB226" s="105"/>
      <c r="AC226" s="105"/>
      <c r="AD226" s="105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105"/>
      <c r="AB227" s="105"/>
      <c r="AC227" s="105"/>
      <c r="AD227" s="105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105"/>
      <c r="AB228" s="105"/>
      <c r="AC228" s="105"/>
      <c r="AD228" s="105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105"/>
      <c r="AB229" s="105"/>
      <c r="AC229" s="105"/>
      <c r="AD229" s="105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105"/>
      <c r="AB230" s="105"/>
      <c r="AC230" s="105"/>
      <c r="AD230" s="105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105"/>
      <c r="AB231" s="105"/>
      <c r="AC231" s="105"/>
      <c r="AD231" s="105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105"/>
      <c r="AB232" s="105"/>
      <c r="AC232" s="105"/>
      <c r="AD232" s="105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105"/>
      <c r="AB233" s="105"/>
      <c r="AC233" s="105"/>
      <c r="AD233" s="105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105"/>
      <c r="AB234" s="105"/>
      <c r="AC234" s="105"/>
      <c r="AD234" s="105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105"/>
      <c r="AB235" s="105"/>
      <c r="AC235" s="105"/>
      <c r="AD235" s="105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105"/>
      <c r="AB236" s="105"/>
      <c r="AC236" s="105"/>
      <c r="AD236" s="105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105"/>
      <c r="AB237" s="105"/>
      <c r="AC237" s="105"/>
      <c r="AD237" s="105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105"/>
      <c r="AB238" s="105"/>
      <c r="AC238" s="105"/>
      <c r="AD238" s="105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105"/>
      <c r="AB239" s="105"/>
      <c r="AC239" s="105"/>
      <c r="AD239" s="105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105"/>
      <c r="AB240" s="105"/>
      <c r="AC240" s="105"/>
      <c r="AD240" s="105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105"/>
      <c r="AB241" s="105"/>
      <c r="AC241" s="105"/>
      <c r="AD241" s="105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105"/>
      <c r="AB242" s="105"/>
      <c r="AC242" s="105"/>
      <c r="AD242" s="105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105"/>
      <c r="AB243" s="105"/>
      <c r="AC243" s="105"/>
      <c r="AD243" s="105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105"/>
      <c r="AB244" s="105"/>
      <c r="AC244" s="105"/>
      <c r="AD244" s="105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105"/>
      <c r="AB245" s="105"/>
      <c r="AC245" s="105"/>
      <c r="AD245" s="105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105"/>
      <c r="AB246" s="105"/>
      <c r="AC246" s="105"/>
      <c r="AD246" s="105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105"/>
      <c r="AB247" s="105"/>
      <c r="AC247" s="105"/>
      <c r="AD247" s="105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105"/>
      <c r="AB248" s="105"/>
      <c r="AC248" s="105"/>
      <c r="AD248" s="105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105"/>
      <c r="AB249" s="105"/>
      <c r="AC249" s="105"/>
      <c r="AD249" s="105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105"/>
      <c r="AB250" s="105"/>
      <c r="AC250" s="105"/>
      <c r="AD250" s="105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105"/>
      <c r="AB251" s="105"/>
      <c r="AC251" s="105"/>
      <c r="AD251" s="105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105"/>
      <c r="AB252" s="105"/>
      <c r="AC252" s="105"/>
      <c r="AD252" s="105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105"/>
      <c r="AB253" s="105"/>
      <c r="AC253" s="105"/>
      <c r="AD253" s="105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105"/>
      <c r="AB254" s="105"/>
      <c r="AC254" s="105"/>
      <c r="AD254" s="105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105"/>
      <c r="AB255" s="105"/>
      <c r="AC255" s="105"/>
      <c r="AD255" s="105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105"/>
      <c r="AB256" s="105"/>
      <c r="AC256" s="105"/>
      <c r="AD256" s="105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105"/>
      <c r="AB257" s="105"/>
      <c r="AC257" s="105"/>
      <c r="AD257" s="105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105"/>
      <c r="AB258" s="105"/>
      <c r="AC258" s="105"/>
      <c r="AD258" s="105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105"/>
      <c r="AB259" s="105"/>
      <c r="AC259" s="105"/>
      <c r="AD259" s="105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105"/>
      <c r="AB260" s="105"/>
      <c r="AC260" s="105"/>
      <c r="AD260" s="105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105"/>
      <c r="AB261" s="105"/>
      <c r="AC261" s="105"/>
      <c r="AD261" s="105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105"/>
      <c r="AB262" s="105"/>
      <c r="AC262" s="105"/>
      <c r="AD262" s="105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105"/>
      <c r="AB263" s="105"/>
      <c r="AC263" s="105"/>
      <c r="AD263" s="105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105"/>
      <c r="AB264" s="105"/>
      <c r="AC264" s="105"/>
      <c r="AD264" s="105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105"/>
      <c r="AB265" s="105"/>
      <c r="AC265" s="105"/>
      <c r="AD265" s="105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105"/>
      <c r="AB266" s="105"/>
      <c r="AC266" s="105"/>
      <c r="AD266" s="105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105"/>
      <c r="AB267" s="105"/>
      <c r="AC267" s="105"/>
      <c r="AD267" s="105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105"/>
      <c r="AB268" s="105"/>
      <c r="AC268" s="105"/>
      <c r="AD268" s="105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105"/>
      <c r="AB269" s="105"/>
      <c r="AC269" s="105"/>
      <c r="AD269" s="105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105"/>
      <c r="AB270" s="105"/>
      <c r="AC270" s="105"/>
      <c r="AD270" s="105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105"/>
      <c r="AB271" s="105"/>
      <c r="AC271" s="105"/>
      <c r="AD271" s="105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105"/>
      <c r="AB272" s="105"/>
      <c r="AC272" s="105"/>
      <c r="AD272" s="105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105"/>
      <c r="AB273" s="105"/>
      <c r="AC273" s="105"/>
      <c r="AD273" s="105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105"/>
      <c r="AB274" s="105"/>
      <c r="AC274" s="105"/>
      <c r="AD274" s="105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105"/>
      <c r="AB275" s="105"/>
      <c r="AC275" s="105"/>
      <c r="AD275" s="105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105"/>
      <c r="AB276" s="105"/>
      <c r="AC276" s="105"/>
      <c r="AD276" s="105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105"/>
      <c r="AB277" s="105"/>
      <c r="AC277" s="105"/>
      <c r="AD277" s="105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105"/>
      <c r="AB278" s="105"/>
      <c r="AC278" s="105"/>
      <c r="AD278" s="105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105"/>
      <c r="AB279" s="105"/>
      <c r="AC279" s="105"/>
      <c r="AD279" s="105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105"/>
      <c r="AB280" s="105"/>
      <c r="AC280" s="105"/>
      <c r="AD280" s="105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105"/>
      <c r="AB281" s="105"/>
      <c r="AC281" s="105"/>
      <c r="AD281" s="105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105"/>
      <c r="AB282" s="105"/>
      <c r="AC282" s="105"/>
      <c r="AD282" s="105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105"/>
      <c r="AB283" s="105"/>
      <c r="AC283" s="105"/>
      <c r="AD283" s="105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105"/>
      <c r="AB284" s="105"/>
      <c r="AC284" s="105"/>
      <c r="AD284" s="105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105"/>
      <c r="AB285" s="105"/>
      <c r="AC285" s="105"/>
      <c r="AD285" s="105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105"/>
      <c r="AB286" s="105"/>
      <c r="AC286" s="105"/>
      <c r="AD286" s="105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105"/>
      <c r="AB287" s="105"/>
      <c r="AC287" s="105"/>
      <c r="AD287" s="105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105"/>
      <c r="AB288" s="105"/>
      <c r="AC288" s="105"/>
      <c r="AD288" s="105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105"/>
      <c r="AB289" s="105"/>
      <c r="AC289" s="105"/>
      <c r="AD289" s="105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105"/>
      <c r="AB290" s="105"/>
      <c r="AC290" s="105"/>
      <c r="AD290" s="105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105"/>
      <c r="AB291" s="105"/>
      <c r="AC291" s="105"/>
      <c r="AD291" s="105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105"/>
      <c r="AB292" s="105"/>
      <c r="AC292" s="105"/>
      <c r="AD292" s="105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105"/>
      <c r="AB293" s="105"/>
      <c r="AC293" s="105"/>
      <c r="AD293" s="105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105"/>
      <c r="AB294" s="105"/>
      <c r="AC294" s="105"/>
      <c r="AD294" s="105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105"/>
      <c r="AB295" s="105"/>
      <c r="AC295" s="105"/>
      <c r="AD295" s="105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105"/>
      <c r="AB296" s="105"/>
      <c r="AC296" s="105"/>
      <c r="AD296" s="105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105"/>
      <c r="AB297" s="105"/>
      <c r="AC297" s="105"/>
      <c r="AD297" s="105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105"/>
      <c r="AB298" s="105"/>
      <c r="AC298" s="105"/>
      <c r="AD298" s="105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105"/>
      <c r="AB299" s="105"/>
      <c r="AC299" s="105"/>
      <c r="AD299" s="105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105"/>
      <c r="AB300" s="105"/>
      <c r="AC300" s="105"/>
      <c r="AD300" s="105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105"/>
      <c r="AB301" s="105"/>
      <c r="AC301" s="105"/>
      <c r="AD301" s="105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105"/>
      <c r="AB302" s="105"/>
      <c r="AC302" s="105"/>
      <c r="AD302" s="105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105"/>
      <c r="AB303" s="105"/>
      <c r="AC303" s="105"/>
      <c r="AD303" s="105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105"/>
      <c r="AB304" s="105"/>
      <c r="AC304" s="105"/>
      <c r="AD304" s="105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105"/>
      <c r="AB305" s="105"/>
      <c r="AC305" s="105"/>
      <c r="AD305" s="105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105"/>
      <c r="AB306" s="105"/>
      <c r="AC306" s="105"/>
      <c r="AD306" s="105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105"/>
      <c r="AB307" s="105"/>
      <c r="AC307" s="105"/>
      <c r="AD307" s="105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105"/>
      <c r="AB308" s="105"/>
      <c r="AC308" s="105"/>
      <c r="AD308" s="105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105"/>
      <c r="AB309" s="105"/>
      <c r="AC309" s="105"/>
      <c r="AD309" s="105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105"/>
      <c r="AB310" s="105"/>
      <c r="AC310" s="105"/>
      <c r="AD310" s="105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105"/>
      <c r="AB311" s="105"/>
      <c r="AC311" s="105"/>
      <c r="AD311" s="105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105"/>
      <c r="AB312" s="105"/>
      <c r="AC312" s="105"/>
      <c r="AD312" s="105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105"/>
      <c r="AB313" s="105"/>
      <c r="AC313" s="105"/>
      <c r="AD313" s="105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105"/>
      <c r="AB314" s="105"/>
      <c r="AC314" s="105"/>
      <c r="AD314" s="105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105"/>
      <c r="AB315" s="105"/>
      <c r="AC315" s="105"/>
      <c r="AD315" s="105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105"/>
      <c r="AB316" s="105"/>
      <c r="AC316" s="105"/>
      <c r="AD316" s="105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105"/>
      <c r="AB317" s="105"/>
      <c r="AC317" s="105"/>
      <c r="AD317" s="105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105"/>
      <c r="AB318" s="105"/>
      <c r="AC318" s="105"/>
      <c r="AD318" s="105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105"/>
      <c r="AB319" s="105"/>
      <c r="AC319" s="105"/>
      <c r="AD319" s="105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105"/>
      <c r="AB320" s="105"/>
      <c r="AC320" s="105"/>
      <c r="AD320" s="105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105"/>
      <c r="AB321" s="105"/>
      <c r="AC321" s="105"/>
      <c r="AD321" s="105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105"/>
      <c r="AB322" s="105"/>
      <c r="AC322" s="105"/>
      <c r="AD322" s="105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105"/>
      <c r="AB323" s="105"/>
      <c r="AC323" s="105"/>
      <c r="AD323" s="105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105"/>
      <c r="AB324" s="105"/>
      <c r="AC324" s="105"/>
      <c r="AD324" s="105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105"/>
      <c r="AB325" s="105"/>
      <c r="AC325" s="105"/>
      <c r="AD325" s="105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105"/>
      <c r="AB326" s="105"/>
      <c r="AC326" s="105"/>
      <c r="AD326" s="105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105"/>
      <c r="AB327" s="105"/>
      <c r="AC327" s="105"/>
      <c r="AD327" s="105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105"/>
      <c r="AB328" s="105"/>
      <c r="AC328" s="105"/>
      <c r="AD328" s="105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105"/>
      <c r="AB329" s="105"/>
      <c r="AC329" s="105"/>
      <c r="AD329" s="105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105"/>
      <c r="AB330" s="105"/>
      <c r="AC330" s="105"/>
      <c r="AD330" s="105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105"/>
      <c r="AB331" s="105"/>
      <c r="AC331" s="105"/>
      <c r="AD331" s="105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105"/>
      <c r="AB332" s="105"/>
      <c r="AC332" s="105"/>
      <c r="AD332" s="105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105"/>
      <c r="AB333" s="105"/>
      <c r="AC333" s="105"/>
      <c r="AD333" s="105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105"/>
      <c r="AB334" s="105"/>
      <c r="AC334" s="105"/>
      <c r="AD334" s="105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105"/>
      <c r="AB335" s="105"/>
      <c r="AC335" s="105"/>
      <c r="AD335" s="105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105"/>
      <c r="AB336" s="105"/>
      <c r="AC336" s="105"/>
      <c r="AD336" s="105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105"/>
      <c r="AB337" s="105"/>
      <c r="AC337" s="105"/>
      <c r="AD337" s="105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105"/>
      <c r="AB338" s="105"/>
      <c r="AC338" s="105"/>
      <c r="AD338" s="105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105"/>
      <c r="AB339" s="105"/>
      <c r="AC339" s="105"/>
      <c r="AD339" s="105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105"/>
      <c r="AB340" s="105"/>
      <c r="AC340" s="105"/>
      <c r="AD340" s="105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105"/>
      <c r="AB341" s="105"/>
      <c r="AC341" s="105"/>
      <c r="AD341" s="105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105"/>
      <c r="AB342" s="105"/>
      <c r="AC342" s="105"/>
      <c r="AD342" s="105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105"/>
      <c r="AB343" s="105"/>
      <c r="AC343" s="105"/>
      <c r="AD343" s="105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105"/>
      <c r="AB344" s="105"/>
      <c r="AC344" s="105"/>
      <c r="AD344" s="105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105"/>
      <c r="AB345" s="105"/>
      <c r="AC345" s="105"/>
      <c r="AD345" s="105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105"/>
      <c r="AB346" s="105"/>
      <c r="AC346" s="105"/>
      <c r="AD346" s="105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105"/>
      <c r="AB347" s="105"/>
      <c r="AC347" s="105"/>
      <c r="AD347" s="105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105"/>
      <c r="AB348" s="105"/>
      <c r="AC348" s="105"/>
      <c r="AD348" s="105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105"/>
      <c r="AB349" s="105"/>
      <c r="AC349" s="105"/>
      <c r="AD349" s="105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105"/>
      <c r="AB350" s="105"/>
      <c r="AC350" s="105"/>
      <c r="AD350" s="105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105"/>
      <c r="AB351" s="105"/>
      <c r="AC351" s="105"/>
      <c r="AD351" s="105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105"/>
      <c r="AB352" s="105"/>
      <c r="AC352" s="105"/>
      <c r="AD352" s="105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105"/>
      <c r="AB353" s="105"/>
      <c r="AC353" s="105"/>
      <c r="AD353" s="105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105"/>
      <c r="AB354" s="105"/>
      <c r="AC354" s="105"/>
      <c r="AD354" s="105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105"/>
      <c r="AB355" s="105"/>
      <c r="AC355" s="105"/>
      <c r="AD355" s="105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105"/>
      <c r="AB356" s="105"/>
      <c r="AC356" s="105"/>
      <c r="AD356" s="105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105"/>
      <c r="AB357" s="105"/>
      <c r="AC357" s="105"/>
      <c r="AD357" s="105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105"/>
      <c r="AB358" s="105"/>
      <c r="AC358" s="105"/>
      <c r="AD358" s="105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105"/>
      <c r="AB359" s="105"/>
      <c r="AC359" s="105"/>
      <c r="AD359" s="105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105"/>
      <c r="AB360" s="105"/>
      <c r="AC360" s="105"/>
      <c r="AD360" s="105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105"/>
      <c r="AB361" s="105"/>
      <c r="AC361" s="105"/>
      <c r="AD361" s="105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105"/>
      <c r="AB362" s="105"/>
      <c r="AC362" s="105"/>
      <c r="AD362" s="105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105"/>
      <c r="AB363" s="105"/>
      <c r="AC363" s="105"/>
      <c r="AD363" s="105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105"/>
      <c r="AB364" s="105"/>
      <c r="AC364" s="105"/>
      <c r="AD364" s="105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105"/>
      <c r="AB365" s="105"/>
      <c r="AC365" s="105"/>
      <c r="AD365" s="105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105"/>
      <c r="AB366" s="105"/>
      <c r="AC366" s="105"/>
      <c r="AD366" s="105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105"/>
      <c r="AB367" s="105"/>
      <c r="AC367" s="105"/>
      <c r="AD367" s="105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105"/>
      <c r="AB368" s="105"/>
      <c r="AC368" s="105"/>
      <c r="AD368" s="105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105"/>
      <c r="AB369" s="105"/>
      <c r="AC369" s="105"/>
      <c r="AD369" s="105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105"/>
      <c r="AB370" s="105"/>
      <c r="AC370" s="105"/>
      <c r="AD370" s="105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105"/>
      <c r="AB371" s="105"/>
      <c r="AC371" s="105"/>
      <c r="AD371" s="105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105"/>
      <c r="AB372" s="105"/>
      <c r="AC372" s="105"/>
      <c r="AD372" s="105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105"/>
      <c r="AB373" s="105"/>
      <c r="AC373" s="105"/>
      <c r="AD373" s="105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105"/>
      <c r="AB374" s="105"/>
      <c r="AC374" s="105"/>
      <c r="AD374" s="105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105"/>
      <c r="AB375" s="105"/>
      <c r="AC375" s="105"/>
      <c r="AD375" s="105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105"/>
      <c r="AB376" s="105"/>
      <c r="AC376" s="105"/>
      <c r="AD376" s="105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105"/>
      <c r="AB377" s="105"/>
      <c r="AC377" s="105"/>
      <c r="AD377" s="105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105"/>
      <c r="AB378" s="105"/>
      <c r="AC378" s="105"/>
      <c r="AD378" s="105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105"/>
      <c r="AB379" s="105"/>
      <c r="AC379" s="105"/>
      <c r="AD379" s="105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105"/>
      <c r="AB380" s="105"/>
      <c r="AC380" s="105"/>
      <c r="AD380" s="105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105"/>
      <c r="AB381" s="105"/>
      <c r="AC381" s="105"/>
      <c r="AD381" s="105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105"/>
      <c r="AB382" s="105"/>
      <c r="AC382" s="105"/>
      <c r="AD382" s="105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105"/>
      <c r="AB383" s="105"/>
      <c r="AC383" s="105"/>
      <c r="AD383" s="105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105"/>
      <c r="AB384" s="105"/>
      <c r="AC384" s="105"/>
      <c r="AD384" s="105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105"/>
      <c r="AB385" s="105"/>
      <c r="AC385" s="105"/>
      <c r="AD385" s="105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105"/>
      <c r="AB386" s="105"/>
      <c r="AC386" s="105"/>
      <c r="AD386" s="105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105"/>
      <c r="AB387" s="105"/>
      <c r="AC387" s="105"/>
      <c r="AD387" s="105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105"/>
      <c r="AB388" s="105"/>
      <c r="AC388" s="105"/>
      <c r="AD388" s="105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105"/>
      <c r="AB389" s="105"/>
      <c r="AC389" s="105"/>
      <c r="AD389" s="105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105"/>
      <c r="AB390" s="105"/>
      <c r="AC390" s="105"/>
      <c r="AD390" s="105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105"/>
      <c r="AB391" s="105"/>
      <c r="AC391" s="105"/>
      <c r="AD391" s="105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105"/>
      <c r="AB392" s="105"/>
      <c r="AC392" s="105"/>
      <c r="AD392" s="105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105"/>
      <c r="AB393" s="105"/>
      <c r="AC393" s="105"/>
      <c r="AD393" s="105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105"/>
      <c r="AB394" s="105"/>
      <c r="AC394" s="105"/>
      <c r="AD394" s="105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105"/>
      <c r="AB395" s="105"/>
      <c r="AC395" s="105"/>
      <c r="AD395" s="105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105"/>
      <c r="AB396" s="105"/>
      <c r="AC396" s="105"/>
      <c r="AD396" s="105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105"/>
      <c r="AB397" s="105"/>
      <c r="AC397" s="105"/>
      <c r="AD397" s="105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105"/>
      <c r="AB398" s="105"/>
      <c r="AC398" s="105"/>
      <c r="AD398" s="105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105"/>
      <c r="AB399" s="105"/>
      <c r="AC399" s="105"/>
      <c r="AD399" s="105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105"/>
      <c r="AB400" s="105"/>
      <c r="AC400" s="105"/>
      <c r="AD400" s="105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105"/>
      <c r="AB401" s="105"/>
      <c r="AC401" s="105"/>
      <c r="AD401" s="105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105"/>
      <c r="AB402" s="105"/>
      <c r="AC402" s="105"/>
      <c r="AD402" s="105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105"/>
      <c r="AB403" s="105"/>
      <c r="AC403" s="105"/>
      <c r="AD403" s="105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105"/>
      <c r="AB404" s="105"/>
      <c r="AC404" s="105"/>
      <c r="AD404" s="105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105"/>
      <c r="AB405" s="105"/>
      <c r="AC405" s="105"/>
      <c r="AD405" s="105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105"/>
      <c r="AB406" s="105"/>
      <c r="AC406" s="105"/>
      <c r="AD406" s="105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105"/>
      <c r="AB407" s="105"/>
      <c r="AC407" s="105"/>
      <c r="AD407" s="105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105"/>
      <c r="AB408" s="105"/>
      <c r="AC408" s="105"/>
      <c r="AD408" s="105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105"/>
      <c r="AB409" s="105"/>
      <c r="AC409" s="105"/>
      <c r="AD409" s="105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105"/>
      <c r="AB410" s="105"/>
      <c r="AC410" s="105"/>
      <c r="AD410" s="105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105"/>
      <c r="AB411" s="105"/>
      <c r="AC411" s="105"/>
      <c r="AD411" s="105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105"/>
      <c r="AB412" s="105"/>
      <c r="AC412" s="105"/>
      <c r="AD412" s="105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105"/>
      <c r="AB413" s="105"/>
      <c r="AC413" s="105"/>
      <c r="AD413" s="105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105"/>
      <c r="AB414" s="105"/>
      <c r="AC414" s="105"/>
      <c r="AD414" s="105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105"/>
      <c r="AB415" s="105"/>
      <c r="AC415" s="105"/>
      <c r="AD415" s="105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105"/>
      <c r="AB416" s="105"/>
      <c r="AC416" s="105"/>
      <c r="AD416" s="105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105"/>
      <c r="AB417" s="105"/>
      <c r="AC417" s="105"/>
      <c r="AD417" s="105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105"/>
      <c r="AB418" s="105"/>
      <c r="AC418" s="105"/>
      <c r="AD418" s="105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105"/>
      <c r="AB419" s="105"/>
      <c r="AC419" s="105"/>
      <c r="AD419" s="105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105"/>
      <c r="AB420" s="105"/>
      <c r="AC420" s="105"/>
      <c r="AD420" s="105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105"/>
      <c r="AB421" s="105"/>
      <c r="AC421" s="105"/>
      <c r="AD421" s="105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105"/>
      <c r="AB422" s="105"/>
      <c r="AC422" s="105"/>
      <c r="AD422" s="105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105"/>
      <c r="AB423" s="105"/>
      <c r="AC423" s="105"/>
      <c r="AD423" s="105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105"/>
      <c r="AB424" s="105"/>
      <c r="AC424" s="105"/>
      <c r="AD424" s="105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105"/>
      <c r="AB425" s="105"/>
      <c r="AC425" s="105"/>
      <c r="AD425" s="105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105"/>
      <c r="AB426" s="105"/>
      <c r="AC426" s="105"/>
      <c r="AD426" s="105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105"/>
      <c r="AB427" s="105"/>
      <c r="AC427" s="105"/>
      <c r="AD427" s="105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105"/>
      <c r="AB428" s="105"/>
      <c r="AC428" s="105"/>
      <c r="AD428" s="105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105"/>
      <c r="AB429" s="105"/>
      <c r="AC429" s="105"/>
      <c r="AD429" s="105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105"/>
      <c r="AB430" s="105"/>
      <c r="AC430" s="105"/>
      <c r="AD430" s="105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105"/>
      <c r="AB431" s="105"/>
      <c r="AC431" s="105"/>
      <c r="AD431" s="105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105"/>
      <c r="AB432" s="105"/>
      <c r="AC432" s="105"/>
      <c r="AD432" s="105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105"/>
      <c r="AB433" s="105"/>
      <c r="AC433" s="105"/>
      <c r="AD433" s="105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105"/>
      <c r="AB434" s="105"/>
      <c r="AC434" s="105"/>
      <c r="AD434" s="105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105"/>
      <c r="AB435" s="105"/>
      <c r="AC435" s="105"/>
      <c r="AD435" s="105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105"/>
      <c r="AB436" s="105"/>
      <c r="AC436" s="105"/>
      <c r="AD436" s="105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105"/>
      <c r="AB437" s="105"/>
      <c r="AC437" s="105"/>
      <c r="AD437" s="105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105"/>
      <c r="AB438" s="105"/>
      <c r="AC438" s="105"/>
      <c r="AD438" s="105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105"/>
      <c r="AB439" s="105"/>
      <c r="AC439" s="105"/>
      <c r="AD439" s="105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105"/>
      <c r="AB440" s="105"/>
      <c r="AC440" s="105"/>
      <c r="AD440" s="105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105"/>
      <c r="AB441" s="105"/>
      <c r="AC441" s="105"/>
      <c r="AD441" s="105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105"/>
      <c r="AB442" s="105"/>
      <c r="AC442" s="105"/>
      <c r="AD442" s="105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105"/>
      <c r="AB443" s="105"/>
      <c r="AC443" s="105"/>
      <c r="AD443" s="105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105"/>
      <c r="AB444" s="105"/>
      <c r="AC444" s="105"/>
      <c r="AD444" s="105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105"/>
      <c r="AB445" s="105"/>
      <c r="AC445" s="105"/>
      <c r="AD445" s="105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105"/>
      <c r="AB446" s="105"/>
      <c r="AC446" s="105"/>
      <c r="AD446" s="105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105"/>
      <c r="AB447" s="105"/>
      <c r="AC447" s="105"/>
      <c r="AD447" s="105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105"/>
      <c r="AB448" s="105"/>
      <c r="AC448" s="105"/>
      <c r="AD448" s="105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105"/>
      <c r="AB449" s="105"/>
      <c r="AC449" s="105"/>
      <c r="AD449" s="105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105"/>
      <c r="AB450" s="105"/>
      <c r="AC450" s="105"/>
      <c r="AD450" s="105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105"/>
      <c r="AB451" s="105"/>
      <c r="AC451" s="105"/>
      <c r="AD451" s="105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105"/>
      <c r="AB452" s="105"/>
      <c r="AC452" s="105"/>
      <c r="AD452" s="105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105"/>
      <c r="AB453" s="105"/>
      <c r="AC453" s="105"/>
      <c r="AD453" s="105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105"/>
      <c r="AB454" s="105"/>
      <c r="AC454" s="105"/>
      <c r="AD454" s="105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105"/>
      <c r="AB455" s="105"/>
      <c r="AC455" s="105"/>
      <c r="AD455" s="105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105"/>
      <c r="AB456" s="105"/>
      <c r="AC456" s="105"/>
      <c r="AD456" s="105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105"/>
      <c r="AB457" s="105"/>
      <c r="AC457" s="105"/>
      <c r="AD457" s="105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105"/>
      <c r="AB458" s="105"/>
      <c r="AC458" s="105"/>
      <c r="AD458" s="105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105"/>
      <c r="AB459" s="105"/>
      <c r="AC459" s="105"/>
      <c r="AD459" s="105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105"/>
      <c r="AB460" s="105"/>
      <c r="AC460" s="105"/>
      <c r="AD460" s="105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105"/>
      <c r="AB461" s="105"/>
      <c r="AC461" s="105"/>
      <c r="AD461" s="105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105"/>
      <c r="AB462" s="105"/>
      <c r="AC462" s="105"/>
      <c r="AD462" s="105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105"/>
      <c r="AB463" s="105"/>
      <c r="AC463" s="105"/>
      <c r="AD463" s="105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105"/>
      <c r="AB464" s="105"/>
      <c r="AC464" s="105"/>
      <c r="AD464" s="105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105"/>
      <c r="AB465" s="105"/>
      <c r="AC465" s="105"/>
      <c r="AD465" s="105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105"/>
      <c r="AB466" s="105"/>
      <c r="AC466" s="105"/>
      <c r="AD466" s="105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105"/>
      <c r="AB467" s="105"/>
      <c r="AC467" s="105"/>
      <c r="AD467" s="105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105"/>
      <c r="AB468" s="105"/>
      <c r="AC468" s="105"/>
      <c r="AD468" s="105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105"/>
      <c r="AB469" s="105"/>
      <c r="AC469" s="105"/>
      <c r="AD469" s="105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105"/>
      <c r="AB470" s="105"/>
      <c r="AC470" s="105"/>
      <c r="AD470" s="105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105"/>
      <c r="AB471" s="105"/>
      <c r="AC471" s="105"/>
      <c r="AD471" s="105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105"/>
      <c r="AB472" s="105"/>
      <c r="AC472" s="105"/>
      <c r="AD472" s="105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105"/>
      <c r="AB473" s="105"/>
      <c r="AC473" s="105"/>
      <c r="AD473" s="105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105"/>
      <c r="AB474" s="105"/>
      <c r="AC474" s="105"/>
      <c r="AD474" s="105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105"/>
      <c r="AB475" s="105"/>
      <c r="AC475" s="105"/>
      <c r="AD475" s="105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105"/>
      <c r="AB476" s="105"/>
      <c r="AC476" s="105"/>
      <c r="AD476" s="105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105"/>
      <c r="AB477" s="105"/>
      <c r="AC477" s="105"/>
      <c r="AD477" s="105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105"/>
      <c r="AB478" s="105"/>
      <c r="AC478" s="105"/>
      <c r="AD478" s="105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105"/>
      <c r="AB479" s="105"/>
      <c r="AC479" s="105"/>
      <c r="AD479" s="105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105"/>
      <c r="AB480" s="105"/>
      <c r="AC480" s="105"/>
      <c r="AD480" s="105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105"/>
      <c r="AB481" s="105"/>
      <c r="AC481" s="105"/>
      <c r="AD481" s="105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105"/>
      <c r="AB482" s="105"/>
      <c r="AC482" s="105"/>
      <c r="AD482" s="105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105"/>
      <c r="AB483" s="105"/>
      <c r="AC483" s="105"/>
      <c r="AD483" s="105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105"/>
      <c r="AB484" s="105"/>
      <c r="AC484" s="105"/>
      <c r="AD484" s="105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105"/>
      <c r="AB485" s="105"/>
      <c r="AC485" s="105"/>
      <c r="AD485" s="105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105"/>
      <c r="AB486" s="105"/>
      <c r="AC486" s="105"/>
      <c r="AD486" s="105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105"/>
      <c r="AB487" s="105"/>
      <c r="AC487" s="105"/>
      <c r="AD487" s="105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105"/>
      <c r="AB488" s="105"/>
      <c r="AC488" s="105"/>
      <c r="AD488" s="105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105"/>
      <c r="AB489" s="105"/>
      <c r="AC489" s="105"/>
      <c r="AD489" s="105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105"/>
      <c r="AB490" s="105"/>
      <c r="AC490" s="105"/>
      <c r="AD490" s="105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105"/>
      <c r="AB491" s="105"/>
      <c r="AC491" s="105"/>
      <c r="AD491" s="105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105"/>
      <c r="AB492" s="105"/>
      <c r="AC492" s="105"/>
      <c r="AD492" s="105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105"/>
      <c r="AB493" s="105"/>
      <c r="AC493" s="105"/>
      <c r="AD493" s="105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105"/>
      <c r="AB494" s="105"/>
      <c r="AC494" s="105"/>
      <c r="AD494" s="105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105"/>
      <c r="AB495" s="105"/>
      <c r="AC495" s="105"/>
      <c r="AD495" s="105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105"/>
      <c r="AB496" s="105"/>
      <c r="AC496" s="105"/>
      <c r="AD496" s="105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105"/>
      <c r="AB497" s="105"/>
      <c r="AC497" s="105"/>
      <c r="AD497" s="105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105"/>
      <c r="AB498" s="105"/>
      <c r="AC498" s="105"/>
      <c r="AD498" s="105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105"/>
      <c r="AB499" s="105"/>
      <c r="AC499" s="105"/>
      <c r="AD499" s="105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105"/>
      <c r="AB500" s="105"/>
      <c r="AC500" s="105"/>
      <c r="AD500" s="105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105"/>
      <c r="AB501" s="105"/>
      <c r="AC501" s="105"/>
      <c r="AD501" s="105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105"/>
      <c r="AB502" s="105"/>
      <c r="AC502" s="105"/>
      <c r="AD502" s="105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105"/>
      <c r="AB503" s="105"/>
      <c r="AC503" s="105"/>
      <c r="AD503" s="105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105"/>
      <c r="AB504" s="105"/>
      <c r="AC504" s="105"/>
      <c r="AD504" s="105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105"/>
      <c r="AB505" s="105"/>
      <c r="AC505" s="105"/>
      <c r="AD505" s="105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105"/>
      <c r="AB506" s="105"/>
      <c r="AC506" s="105"/>
      <c r="AD506" s="105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105"/>
      <c r="AB507" s="105"/>
      <c r="AC507" s="105"/>
      <c r="AD507" s="105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105"/>
      <c r="AB508" s="105"/>
      <c r="AC508" s="105"/>
      <c r="AD508" s="105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105"/>
      <c r="AB509" s="105"/>
      <c r="AC509" s="105"/>
      <c r="AD509" s="105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105"/>
      <c r="AB510" s="105"/>
      <c r="AC510" s="105"/>
      <c r="AD510" s="105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105"/>
      <c r="AB511" s="105"/>
      <c r="AC511" s="105"/>
      <c r="AD511" s="105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105"/>
      <c r="AB512" s="105"/>
      <c r="AC512" s="105"/>
      <c r="AD512" s="105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105"/>
      <c r="AB513" s="105"/>
      <c r="AC513" s="105"/>
      <c r="AD513" s="105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105"/>
      <c r="AB514" s="105"/>
      <c r="AC514" s="105"/>
      <c r="AD514" s="105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105"/>
      <c r="AB515" s="105"/>
      <c r="AC515" s="105"/>
      <c r="AD515" s="105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105"/>
      <c r="AB516" s="105"/>
      <c r="AC516" s="105"/>
      <c r="AD516" s="105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105"/>
      <c r="AB517" s="105"/>
      <c r="AC517" s="105"/>
      <c r="AD517" s="105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105"/>
      <c r="AB518" s="105"/>
      <c r="AC518" s="105"/>
      <c r="AD518" s="105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105"/>
      <c r="AB519" s="105"/>
      <c r="AC519" s="105"/>
      <c r="AD519" s="105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105"/>
      <c r="AB520" s="105"/>
      <c r="AC520" s="105"/>
      <c r="AD520" s="105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105"/>
      <c r="AB521" s="105"/>
      <c r="AC521" s="105"/>
      <c r="AD521" s="105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105"/>
      <c r="AB522" s="105"/>
      <c r="AC522" s="105"/>
      <c r="AD522" s="105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105"/>
      <c r="AB523" s="105"/>
      <c r="AC523" s="105"/>
      <c r="AD523" s="105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105"/>
      <c r="AB524" s="105"/>
      <c r="AC524" s="105"/>
      <c r="AD524" s="105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105"/>
      <c r="AB525" s="105"/>
      <c r="AC525" s="105"/>
      <c r="AD525" s="105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105"/>
      <c r="AB526" s="105"/>
      <c r="AC526" s="105"/>
      <c r="AD526" s="105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105"/>
      <c r="AB527" s="105"/>
      <c r="AC527" s="105"/>
      <c r="AD527" s="105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105"/>
      <c r="AB528" s="105"/>
      <c r="AC528" s="105"/>
      <c r="AD528" s="105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105"/>
      <c r="AB529" s="105"/>
      <c r="AC529" s="105"/>
      <c r="AD529" s="105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105"/>
      <c r="AB530" s="105"/>
      <c r="AC530" s="105"/>
      <c r="AD530" s="105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105"/>
      <c r="AB531" s="105"/>
      <c r="AC531" s="105"/>
      <c r="AD531" s="105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105"/>
      <c r="AB532" s="105"/>
      <c r="AC532" s="105"/>
      <c r="AD532" s="105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105"/>
      <c r="AB533" s="105"/>
      <c r="AC533" s="105"/>
      <c r="AD533" s="105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105"/>
      <c r="AB534" s="105"/>
      <c r="AC534" s="105"/>
      <c r="AD534" s="105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105"/>
      <c r="AB535" s="105"/>
      <c r="AC535" s="105"/>
      <c r="AD535" s="105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105"/>
      <c r="AB536" s="105"/>
      <c r="AC536" s="105"/>
      <c r="AD536" s="105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105"/>
      <c r="AB537" s="105"/>
      <c r="AC537" s="105"/>
      <c r="AD537" s="105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105"/>
      <c r="AB538" s="105"/>
      <c r="AC538" s="105"/>
      <c r="AD538" s="105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105"/>
      <c r="AB539" s="105"/>
      <c r="AC539" s="105"/>
      <c r="AD539" s="105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105"/>
      <c r="AB540" s="105"/>
      <c r="AC540" s="105"/>
      <c r="AD540" s="105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105"/>
      <c r="AB541" s="105"/>
      <c r="AC541" s="105"/>
      <c r="AD541" s="105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105"/>
      <c r="AB542" s="105"/>
      <c r="AC542" s="105"/>
      <c r="AD542" s="105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105"/>
      <c r="AB543" s="105"/>
      <c r="AC543" s="105"/>
      <c r="AD543" s="105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105"/>
      <c r="AB544" s="105"/>
      <c r="AC544" s="105"/>
      <c r="AD544" s="105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105"/>
      <c r="AB545" s="105"/>
      <c r="AC545" s="105"/>
      <c r="AD545" s="105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105"/>
      <c r="AB546" s="105"/>
      <c r="AC546" s="105"/>
      <c r="AD546" s="105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105"/>
      <c r="AB547" s="105"/>
      <c r="AC547" s="105"/>
      <c r="AD547" s="105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105"/>
      <c r="AB548" s="105"/>
      <c r="AC548" s="105"/>
      <c r="AD548" s="105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105"/>
      <c r="AB549" s="105"/>
      <c r="AC549" s="105"/>
      <c r="AD549" s="105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105"/>
      <c r="AB550" s="105"/>
      <c r="AC550" s="105"/>
      <c r="AD550" s="105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105"/>
      <c r="AB551" s="105"/>
      <c r="AC551" s="105"/>
      <c r="AD551" s="105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105"/>
      <c r="AB552" s="105"/>
      <c r="AC552" s="105"/>
      <c r="AD552" s="105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105"/>
      <c r="AB553" s="105"/>
      <c r="AC553" s="105"/>
      <c r="AD553" s="105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105"/>
      <c r="AB554" s="105"/>
      <c r="AC554" s="105"/>
      <c r="AD554" s="105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105"/>
      <c r="AB555" s="105"/>
      <c r="AC555" s="105"/>
      <c r="AD555" s="105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105"/>
      <c r="AB556" s="105"/>
      <c r="AC556" s="105"/>
      <c r="AD556" s="105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105"/>
      <c r="AB557" s="105"/>
      <c r="AC557" s="105"/>
      <c r="AD557" s="105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105"/>
      <c r="AB558" s="105"/>
      <c r="AC558" s="105"/>
      <c r="AD558" s="105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105"/>
      <c r="AB559" s="105"/>
      <c r="AC559" s="105"/>
      <c r="AD559" s="105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105"/>
      <c r="AB560" s="105"/>
      <c r="AC560" s="105"/>
      <c r="AD560" s="105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105"/>
      <c r="AB561" s="105"/>
      <c r="AC561" s="105"/>
      <c r="AD561" s="105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105"/>
      <c r="AB562" s="105"/>
      <c r="AC562" s="105"/>
      <c r="AD562" s="105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105"/>
      <c r="AB563" s="105"/>
      <c r="AC563" s="105"/>
      <c r="AD563" s="105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105"/>
      <c r="AB564" s="105"/>
      <c r="AC564" s="105"/>
      <c r="AD564" s="105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105"/>
      <c r="AB565" s="105"/>
      <c r="AC565" s="105"/>
      <c r="AD565" s="105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105"/>
      <c r="AB566" s="105"/>
      <c r="AC566" s="105"/>
      <c r="AD566" s="105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105"/>
      <c r="AB567" s="105"/>
      <c r="AC567" s="105"/>
      <c r="AD567" s="105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105"/>
      <c r="AB568" s="105"/>
      <c r="AC568" s="105"/>
      <c r="AD568" s="105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105"/>
      <c r="AB569" s="105"/>
      <c r="AC569" s="105"/>
      <c r="AD569" s="105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105"/>
      <c r="AB570" s="105"/>
      <c r="AC570" s="105"/>
      <c r="AD570" s="105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105"/>
      <c r="AB571" s="105"/>
      <c r="AC571" s="105"/>
      <c r="AD571" s="105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105"/>
      <c r="AB572" s="105"/>
      <c r="AC572" s="105"/>
      <c r="AD572" s="105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105"/>
      <c r="AB573" s="105"/>
      <c r="AC573" s="105"/>
      <c r="AD573" s="105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105"/>
      <c r="AB574" s="105"/>
      <c r="AC574" s="105"/>
      <c r="AD574" s="105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105"/>
      <c r="AB575" s="105"/>
      <c r="AC575" s="105"/>
      <c r="AD575" s="105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105"/>
      <c r="AB576" s="105"/>
      <c r="AC576" s="105"/>
      <c r="AD576" s="105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105"/>
      <c r="AB577" s="105"/>
      <c r="AC577" s="105"/>
      <c r="AD577" s="105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105"/>
      <c r="AB578" s="105"/>
      <c r="AC578" s="105"/>
      <c r="AD578" s="105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105"/>
      <c r="AB579" s="105"/>
      <c r="AC579" s="105"/>
      <c r="AD579" s="105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105"/>
      <c r="AB580" s="105"/>
      <c r="AC580" s="105"/>
      <c r="AD580" s="105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105"/>
      <c r="AB581" s="105"/>
      <c r="AC581" s="105"/>
      <c r="AD581" s="105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105"/>
      <c r="AB582" s="105"/>
      <c r="AC582" s="105"/>
      <c r="AD582" s="105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105"/>
      <c r="AB583" s="105"/>
      <c r="AC583" s="105"/>
      <c r="AD583" s="105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105"/>
      <c r="AB584" s="105"/>
      <c r="AC584" s="105"/>
      <c r="AD584" s="105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105"/>
      <c r="AB585" s="105"/>
      <c r="AC585" s="105"/>
      <c r="AD585" s="105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105"/>
      <c r="AB586" s="105"/>
      <c r="AC586" s="105"/>
      <c r="AD586" s="105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105"/>
      <c r="AB587" s="105"/>
      <c r="AC587" s="105"/>
      <c r="AD587" s="105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105"/>
      <c r="AB588" s="105"/>
      <c r="AC588" s="105"/>
      <c r="AD588" s="105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105"/>
      <c r="AB589" s="105"/>
      <c r="AC589" s="105"/>
      <c r="AD589" s="105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105"/>
      <c r="AB590" s="105"/>
      <c r="AC590" s="105"/>
      <c r="AD590" s="105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105"/>
      <c r="AB591" s="105"/>
      <c r="AC591" s="105"/>
      <c r="AD591" s="105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105"/>
      <c r="AB592" s="105"/>
      <c r="AC592" s="105"/>
      <c r="AD592" s="105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105"/>
      <c r="AB593" s="105"/>
      <c r="AC593" s="105"/>
      <c r="AD593" s="105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105"/>
      <c r="AB594" s="105"/>
      <c r="AC594" s="105"/>
      <c r="AD594" s="105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105"/>
      <c r="AB595" s="105"/>
      <c r="AC595" s="105"/>
      <c r="AD595" s="105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105"/>
      <c r="AB596" s="105"/>
      <c r="AC596" s="105"/>
      <c r="AD596" s="105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105"/>
      <c r="AB597" s="105"/>
      <c r="AC597" s="105"/>
      <c r="AD597" s="105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105"/>
      <c r="AB598" s="105"/>
      <c r="AC598" s="105"/>
      <c r="AD598" s="105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105"/>
      <c r="AB599" s="105"/>
      <c r="AC599" s="105"/>
      <c r="AD599" s="105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105"/>
      <c r="AB600" s="105"/>
      <c r="AC600" s="105"/>
      <c r="AD600" s="105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105"/>
      <c r="AB601" s="105"/>
      <c r="AC601" s="105"/>
      <c r="AD601" s="105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105"/>
      <c r="AB602" s="105"/>
      <c r="AC602" s="105"/>
      <c r="AD602" s="105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105"/>
      <c r="AB603" s="105"/>
      <c r="AC603" s="105"/>
      <c r="AD603" s="105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105"/>
      <c r="AB604" s="105"/>
      <c r="AC604" s="105"/>
      <c r="AD604" s="105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105"/>
      <c r="AB605" s="105"/>
      <c r="AC605" s="105"/>
      <c r="AD605" s="105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105"/>
      <c r="AB606" s="105"/>
      <c r="AC606" s="105"/>
      <c r="AD606" s="105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105"/>
      <c r="AB607" s="105"/>
      <c r="AC607" s="105"/>
      <c r="AD607" s="105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105"/>
      <c r="AB608" s="105"/>
      <c r="AC608" s="105"/>
      <c r="AD608" s="105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105"/>
      <c r="AB609" s="105"/>
      <c r="AC609" s="105"/>
      <c r="AD609" s="105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105"/>
      <c r="AB610" s="105"/>
      <c r="AC610" s="105"/>
      <c r="AD610" s="105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105"/>
      <c r="AB611" s="105"/>
      <c r="AC611" s="105"/>
      <c r="AD611" s="105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105"/>
      <c r="AB612" s="105"/>
      <c r="AC612" s="105"/>
      <c r="AD612" s="105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105"/>
      <c r="AB613" s="105"/>
      <c r="AC613" s="105"/>
      <c r="AD613" s="105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105"/>
      <c r="AB614" s="105"/>
      <c r="AC614" s="105"/>
      <c r="AD614" s="105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105"/>
      <c r="AB615" s="105"/>
      <c r="AC615" s="105"/>
      <c r="AD615" s="105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105"/>
      <c r="AB616" s="105"/>
      <c r="AC616" s="105"/>
      <c r="AD616" s="105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105"/>
      <c r="AB617" s="105"/>
      <c r="AC617" s="105"/>
      <c r="AD617" s="105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105"/>
      <c r="AB618" s="105"/>
      <c r="AC618" s="105"/>
      <c r="AD618" s="105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105"/>
      <c r="AB619" s="105"/>
      <c r="AC619" s="105"/>
      <c r="AD619" s="105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105"/>
      <c r="AB620" s="105"/>
      <c r="AC620" s="105"/>
      <c r="AD620" s="105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105"/>
      <c r="AB621" s="105"/>
      <c r="AC621" s="105"/>
      <c r="AD621" s="105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105"/>
      <c r="AB622" s="105"/>
      <c r="AC622" s="105"/>
      <c r="AD622" s="105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105"/>
      <c r="AB623" s="105"/>
      <c r="AC623" s="105"/>
      <c r="AD623" s="105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105"/>
      <c r="AB624" s="105"/>
      <c r="AC624" s="105"/>
      <c r="AD624" s="105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105"/>
      <c r="AB625" s="105"/>
      <c r="AC625" s="105"/>
      <c r="AD625" s="105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105"/>
      <c r="AB626" s="105"/>
      <c r="AC626" s="105"/>
      <c r="AD626" s="105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105"/>
      <c r="AB627" s="105"/>
      <c r="AC627" s="105"/>
      <c r="AD627" s="105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105"/>
      <c r="AB628" s="105"/>
      <c r="AC628" s="105"/>
      <c r="AD628" s="105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105"/>
      <c r="AB629" s="105"/>
      <c r="AC629" s="105"/>
      <c r="AD629" s="105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105"/>
      <c r="AB630" s="105"/>
      <c r="AC630" s="105"/>
      <c r="AD630" s="105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105"/>
      <c r="AB631" s="105"/>
      <c r="AC631" s="105"/>
      <c r="AD631" s="105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105"/>
      <c r="AB632" s="105"/>
      <c r="AC632" s="105"/>
      <c r="AD632" s="105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105"/>
      <c r="AB633" s="105"/>
      <c r="AC633" s="105"/>
      <c r="AD633" s="105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105"/>
      <c r="AB634" s="105"/>
      <c r="AC634" s="105"/>
      <c r="AD634" s="105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105"/>
      <c r="AB635" s="105"/>
      <c r="AC635" s="105"/>
      <c r="AD635" s="105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105"/>
      <c r="AB636" s="105"/>
      <c r="AC636" s="105"/>
      <c r="AD636" s="105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105"/>
      <c r="AB637" s="105"/>
      <c r="AC637" s="105"/>
      <c r="AD637" s="105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105"/>
      <c r="AB638" s="105"/>
      <c r="AC638" s="105"/>
      <c r="AD638" s="105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105"/>
      <c r="AB639" s="105"/>
      <c r="AC639" s="105"/>
      <c r="AD639" s="105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105"/>
      <c r="AB640" s="105"/>
      <c r="AC640" s="105"/>
      <c r="AD640" s="105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105"/>
      <c r="AB641" s="105"/>
      <c r="AC641" s="105"/>
      <c r="AD641" s="105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105"/>
      <c r="AB642" s="105"/>
      <c r="AC642" s="105"/>
      <c r="AD642" s="105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105"/>
      <c r="AB643" s="105"/>
      <c r="AC643" s="105"/>
      <c r="AD643" s="105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105"/>
      <c r="AB644" s="105"/>
      <c r="AC644" s="105"/>
      <c r="AD644" s="105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105"/>
      <c r="AB645" s="105"/>
      <c r="AC645" s="105"/>
      <c r="AD645" s="105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105"/>
      <c r="AB646" s="105"/>
      <c r="AC646" s="105"/>
      <c r="AD646" s="105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105"/>
      <c r="AB647" s="105"/>
      <c r="AC647" s="105"/>
      <c r="AD647" s="105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105"/>
      <c r="AB648" s="105"/>
      <c r="AC648" s="105"/>
      <c r="AD648" s="105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105"/>
      <c r="AB649" s="105"/>
      <c r="AC649" s="105"/>
      <c r="AD649" s="105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105"/>
      <c r="AB650" s="105"/>
      <c r="AC650" s="105"/>
      <c r="AD650" s="105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105"/>
      <c r="AB651" s="105"/>
      <c r="AC651" s="105"/>
      <c r="AD651" s="105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105"/>
      <c r="AB652" s="105"/>
      <c r="AC652" s="105"/>
      <c r="AD652" s="105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105"/>
      <c r="AB653" s="105"/>
      <c r="AC653" s="105"/>
      <c r="AD653" s="105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105"/>
      <c r="AB654" s="105"/>
      <c r="AC654" s="105"/>
      <c r="AD654" s="105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105"/>
      <c r="AB655" s="105"/>
      <c r="AC655" s="105"/>
      <c r="AD655" s="105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105"/>
      <c r="AB656" s="105"/>
      <c r="AC656" s="105"/>
      <c r="AD656" s="105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105"/>
      <c r="AB657" s="105"/>
      <c r="AC657" s="105"/>
      <c r="AD657" s="105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105"/>
      <c r="AB658" s="105"/>
      <c r="AC658" s="105"/>
      <c r="AD658" s="105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105"/>
      <c r="AB659" s="105"/>
      <c r="AC659" s="105"/>
      <c r="AD659" s="105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105"/>
      <c r="AB660" s="105"/>
      <c r="AC660" s="105"/>
      <c r="AD660" s="105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105"/>
      <c r="AB661" s="105"/>
      <c r="AC661" s="105"/>
      <c r="AD661" s="105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105"/>
      <c r="AB662" s="105"/>
      <c r="AC662" s="105"/>
      <c r="AD662" s="105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105"/>
      <c r="AB663" s="105"/>
      <c r="AC663" s="105"/>
      <c r="AD663" s="105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105"/>
      <c r="AB664" s="105"/>
      <c r="AC664" s="105"/>
      <c r="AD664" s="105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105"/>
      <c r="AB665" s="105"/>
      <c r="AC665" s="105"/>
      <c r="AD665" s="105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105"/>
      <c r="AB666" s="105"/>
      <c r="AC666" s="105"/>
      <c r="AD666" s="105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105"/>
      <c r="AB667" s="105"/>
      <c r="AC667" s="105"/>
      <c r="AD667" s="105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105"/>
      <c r="AB668" s="105"/>
      <c r="AC668" s="105"/>
      <c r="AD668" s="105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105"/>
      <c r="AB669" s="105"/>
      <c r="AC669" s="105"/>
      <c r="AD669" s="105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105"/>
      <c r="AB670" s="105"/>
      <c r="AC670" s="105"/>
      <c r="AD670" s="105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105"/>
      <c r="AB671" s="105"/>
      <c r="AC671" s="105"/>
      <c r="AD671" s="105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105"/>
      <c r="AB672" s="105"/>
      <c r="AC672" s="105"/>
      <c r="AD672" s="105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105"/>
      <c r="AB673" s="105"/>
      <c r="AC673" s="105"/>
      <c r="AD673" s="105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105"/>
      <c r="AB674" s="105"/>
      <c r="AC674" s="105"/>
      <c r="AD674" s="105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105"/>
      <c r="AB675" s="105"/>
      <c r="AC675" s="105"/>
      <c r="AD675" s="105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105"/>
      <c r="AB676" s="105"/>
      <c r="AC676" s="105"/>
      <c r="AD676" s="105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105"/>
      <c r="AB677" s="105"/>
      <c r="AC677" s="105"/>
      <c r="AD677" s="105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105"/>
      <c r="AB678" s="105"/>
      <c r="AC678" s="105"/>
      <c r="AD678" s="105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105"/>
      <c r="AB679" s="105"/>
      <c r="AC679" s="105"/>
      <c r="AD679" s="105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105"/>
      <c r="AB680" s="105"/>
      <c r="AC680" s="105"/>
      <c r="AD680" s="105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105"/>
      <c r="AB681" s="105"/>
      <c r="AC681" s="105"/>
      <c r="AD681" s="105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105"/>
      <c r="AB682" s="105"/>
      <c r="AC682" s="105"/>
      <c r="AD682" s="105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105"/>
      <c r="AB683" s="105"/>
      <c r="AC683" s="105"/>
      <c r="AD683" s="105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105"/>
      <c r="AB684" s="105"/>
      <c r="AC684" s="105"/>
      <c r="AD684" s="105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105"/>
      <c r="AB685" s="105"/>
      <c r="AC685" s="105"/>
      <c r="AD685" s="105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105"/>
      <c r="AB686" s="105"/>
      <c r="AC686" s="105"/>
      <c r="AD686" s="105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105"/>
      <c r="AB687" s="105"/>
      <c r="AC687" s="105"/>
      <c r="AD687" s="105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105"/>
      <c r="AB688" s="105"/>
      <c r="AC688" s="105"/>
      <c r="AD688" s="105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105"/>
      <c r="AB689" s="105"/>
      <c r="AC689" s="105"/>
      <c r="AD689" s="105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105"/>
      <c r="AB690" s="105"/>
      <c r="AC690" s="105"/>
      <c r="AD690" s="105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105"/>
      <c r="AB691" s="105"/>
      <c r="AC691" s="105"/>
      <c r="AD691" s="105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105"/>
      <c r="AB692" s="105"/>
      <c r="AC692" s="105"/>
      <c r="AD692" s="105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105"/>
      <c r="AB693" s="105"/>
      <c r="AC693" s="105"/>
      <c r="AD693" s="105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105"/>
      <c r="AB694" s="105"/>
      <c r="AC694" s="105"/>
      <c r="AD694" s="105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105"/>
      <c r="AB695" s="105"/>
      <c r="AC695" s="105"/>
      <c r="AD695" s="105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105"/>
      <c r="AB696" s="105"/>
      <c r="AC696" s="105"/>
      <c r="AD696" s="105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105"/>
      <c r="AB697" s="105"/>
      <c r="AC697" s="105"/>
      <c r="AD697" s="105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105"/>
      <c r="AB698" s="105"/>
      <c r="AC698" s="105"/>
      <c r="AD698" s="105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105"/>
      <c r="AB699" s="105"/>
      <c r="AC699" s="105"/>
      <c r="AD699" s="105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105"/>
      <c r="AB700" s="105"/>
      <c r="AC700" s="105"/>
      <c r="AD700" s="105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105"/>
      <c r="AB701" s="105"/>
      <c r="AC701" s="105"/>
      <c r="AD701" s="105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105"/>
      <c r="AB702" s="105"/>
      <c r="AC702" s="105"/>
      <c r="AD702" s="105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105"/>
      <c r="AB703" s="105"/>
      <c r="AC703" s="105"/>
      <c r="AD703" s="105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105"/>
      <c r="AB704" s="105"/>
      <c r="AC704" s="105"/>
      <c r="AD704" s="105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105"/>
      <c r="AB705" s="105"/>
      <c r="AC705" s="105"/>
      <c r="AD705" s="105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105"/>
      <c r="AB706" s="105"/>
      <c r="AC706" s="105"/>
      <c r="AD706" s="105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105"/>
      <c r="AB707" s="105"/>
      <c r="AC707" s="105"/>
      <c r="AD707" s="105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105"/>
      <c r="AB708" s="105"/>
      <c r="AC708" s="105"/>
      <c r="AD708" s="105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105"/>
      <c r="AB709" s="105"/>
      <c r="AC709" s="105"/>
      <c r="AD709" s="105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105"/>
      <c r="AB710" s="105"/>
      <c r="AC710" s="105"/>
      <c r="AD710" s="105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105"/>
      <c r="AB711" s="105"/>
      <c r="AC711" s="105"/>
      <c r="AD711" s="105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105"/>
      <c r="AB712" s="105"/>
      <c r="AC712" s="105"/>
      <c r="AD712" s="105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105"/>
      <c r="AB713" s="105"/>
      <c r="AC713" s="105"/>
      <c r="AD713" s="105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105"/>
      <c r="AB714" s="105"/>
      <c r="AC714" s="105"/>
      <c r="AD714" s="105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105"/>
      <c r="AB715" s="105"/>
      <c r="AC715" s="105"/>
      <c r="AD715" s="105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105"/>
      <c r="AB716" s="105"/>
      <c r="AC716" s="105"/>
      <c r="AD716" s="105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105"/>
      <c r="AB717" s="105"/>
      <c r="AC717" s="105"/>
      <c r="AD717" s="105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105"/>
      <c r="AB718" s="105"/>
      <c r="AC718" s="105"/>
      <c r="AD718" s="105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105"/>
      <c r="AB719" s="105"/>
      <c r="AC719" s="105"/>
      <c r="AD719" s="105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105"/>
      <c r="AB720" s="105"/>
      <c r="AC720" s="105"/>
      <c r="AD720" s="105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105"/>
      <c r="AB721" s="105"/>
      <c r="AC721" s="105"/>
      <c r="AD721" s="105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105"/>
      <c r="AB722" s="105"/>
      <c r="AC722" s="105"/>
      <c r="AD722" s="105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105"/>
      <c r="AB723" s="105"/>
      <c r="AC723" s="105"/>
      <c r="AD723" s="105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105"/>
      <c r="AB724" s="105"/>
      <c r="AC724" s="105"/>
      <c r="AD724" s="105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105"/>
      <c r="AB725" s="105"/>
      <c r="AC725" s="105"/>
      <c r="AD725" s="105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105"/>
      <c r="AB726" s="105"/>
      <c r="AC726" s="105"/>
      <c r="AD726" s="105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105"/>
      <c r="AB727" s="105"/>
      <c r="AC727" s="105"/>
      <c r="AD727" s="105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105"/>
      <c r="AB728" s="105"/>
      <c r="AC728" s="105"/>
      <c r="AD728" s="105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105"/>
      <c r="AB729" s="105"/>
      <c r="AC729" s="105"/>
      <c r="AD729" s="105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105"/>
      <c r="AB730" s="105"/>
      <c r="AC730" s="105"/>
      <c r="AD730" s="105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105"/>
      <c r="AB731" s="105"/>
      <c r="AC731" s="105"/>
      <c r="AD731" s="105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105"/>
      <c r="AB732" s="105"/>
      <c r="AC732" s="105"/>
      <c r="AD732" s="105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105"/>
      <c r="AB733" s="105"/>
      <c r="AC733" s="105"/>
      <c r="AD733" s="105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105"/>
      <c r="AB734" s="105"/>
      <c r="AC734" s="105"/>
      <c r="AD734" s="105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105"/>
      <c r="AB735" s="105"/>
      <c r="AC735" s="105"/>
      <c r="AD735" s="105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105"/>
      <c r="AB736" s="105"/>
      <c r="AC736" s="105"/>
      <c r="AD736" s="105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105"/>
      <c r="AB737" s="105"/>
      <c r="AC737" s="105"/>
      <c r="AD737" s="105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105"/>
      <c r="AB738" s="105"/>
      <c r="AC738" s="105"/>
      <c r="AD738" s="105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105"/>
      <c r="AB739" s="105"/>
      <c r="AC739" s="105"/>
      <c r="AD739" s="105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105"/>
      <c r="AB740" s="105"/>
      <c r="AC740" s="105"/>
      <c r="AD740" s="105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105"/>
      <c r="AB741" s="105"/>
      <c r="AC741" s="105"/>
      <c r="AD741" s="105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105"/>
      <c r="AB742" s="105"/>
      <c r="AC742" s="105"/>
      <c r="AD742" s="105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105"/>
      <c r="AB743" s="105"/>
      <c r="AC743" s="105"/>
      <c r="AD743" s="105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105"/>
      <c r="AB744" s="105"/>
      <c r="AC744" s="105"/>
      <c r="AD744" s="105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105"/>
      <c r="AB745" s="105"/>
      <c r="AC745" s="105"/>
      <c r="AD745" s="105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105"/>
      <c r="AB746" s="105"/>
      <c r="AC746" s="105"/>
      <c r="AD746" s="105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105"/>
      <c r="AB747" s="105"/>
      <c r="AC747" s="105"/>
      <c r="AD747" s="105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105"/>
      <c r="AB748" s="105"/>
      <c r="AC748" s="105"/>
      <c r="AD748" s="105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105"/>
      <c r="AB749" s="105"/>
      <c r="AC749" s="105"/>
      <c r="AD749" s="105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105"/>
      <c r="AB750" s="105"/>
      <c r="AC750" s="105"/>
      <c r="AD750" s="105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105"/>
      <c r="AB751" s="105"/>
      <c r="AC751" s="105"/>
      <c r="AD751" s="105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105"/>
      <c r="AB752" s="105"/>
      <c r="AC752" s="105"/>
      <c r="AD752" s="105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105"/>
      <c r="AB753" s="105"/>
      <c r="AC753" s="105"/>
      <c r="AD753" s="105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105"/>
      <c r="AB754" s="105"/>
      <c r="AC754" s="105"/>
      <c r="AD754" s="105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105"/>
      <c r="AB755" s="105"/>
      <c r="AC755" s="105"/>
      <c r="AD755" s="105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105"/>
      <c r="AB756" s="105"/>
      <c r="AC756" s="105"/>
      <c r="AD756" s="105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105"/>
      <c r="AB757" s="105"/>
      <c r="AC757" s="105"/>
      <c r="AD757" s="105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105"/>
      <c r="AB758" s="105"/>
      <c r="AC758" s="105"/>
      <c r="AD758" s="105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105"/>
      <c r="AB759" s="105"/>
      <c r="AC759" s="105"/>
      <c r="AD759" s="105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105"/>
      <c r="AB760" s="105"/>
      <c r="AC760" s="105"/>
      <c r="AD760" s="105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105"/>
      <c r="AB761" s="105"/>
      <c r="AC761" s="105"/>
      <c r="AD761" s="105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105"/>
      <c r="AB762" s="105"/>
      <c r="AC762" s="105"/>
      <c r="AD762" s="105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105"/>
      <c r="AB763" s="105"/>
      <c r="AC763" s="105"/>
      <c r="AD763" s="105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105"/>
      <c r="AB764" s="105"/>
      <c r="AC764" s="105"/>
      <c r="AD764" s="105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105"/>
      <c r="AB765" s="105"/>
      <c r="AC765" s="105"/>
      <c r="AD765" s="105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105"/>
      <c r="AB766" s="105"/>
      <c r="AC766" s="105"/>
      <c r="AD766" s="105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105"/>
      <c r="AB767" s="105"/>
      <c r="AC767" s="105"/>
      <c r="AD767" s="105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105"/>
      <c r="AB768" s="105"/>
      <c r="AC768" s="105"/>
      <c r="AD768" s="105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105"/>
      <c r="AB769" s="105"/>
      <c r="AC769" s="105"/>
      <c r="AD769" s="105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105"/>
      <c r="AB770" s="105"/>
      <c r="AC770" s="105"/>
      <c r="AD770" s="105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105"/>
      <c r="AB771" s="105"/>
      <c r="AC771" s="105"/>
      <c r="AD771" s="105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105"/>
      <c r="AB772" s="105"/>
      <c r="AC772" s="105"/>
      <c r="AD772" s="105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105"/>
      <c r="AB773" s="105"/>
      <c r="AC773" s="105"/>
      <c r="AD773" s="105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105"/>
      <c r="AB774" s="105"/>
      <c r="AC774" s="105"/>
      <c r="AD774" s="105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105"/>
      <c r="AB775" s="105"/>
      <c r="AC775" s="105"/>
      <c r="AD775" s="105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105"/>
      <c r="AB776" s="105"/>
      <c r="AC776" s="105"/>
      <c r="AD776" s="105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105"/>
      <c r="AB777" s="105"/>
      <c r="AC777" s="105"/>
      <c r="AD777" s="105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105"/>
      <c r="AB778" s="105"/>
      <c r="AC778" s="105"/>
      <c r="AD778" s="105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105"/>
      <c r="AB779" s="105"/>
      <c r="AC779" s="105"/>
      <c r="AD779" s="105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105"/>
      <c r="AB780" s="105"/>
      <c r="AC780" s="105"/>
      <c r="AD780" s="105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105"/>
      <c r="AB781" s="105"/>
      <c r="AC781" s="105"/>
      <c r="AD781" s="105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105"/>
      <c r="AB782" s="105"/>
      <c r="AC782" s="105"/>
      <c r="AD782" s="105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105"/>
      <c r="AB783" s="105"/>
      <c r="AC783" s="105"/>
      <c r="AD783" s="105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105"/>
      <c r="AB784" s="105"/>
      <c r="AC784" s="105"/>
      <c r="AD784" s="105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105"/>
      <c r="AB785" s="105"/>
      <c r="AC785" s="105"/>
      <c r="AD785" s="105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105"/>
      <c r="AB786" s="105"/>
      <c r="AC786" s="105"/>
      <c r="AD786" s="105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105"/>
      <c r="AB787" s="105"/>
      <c r="AC787" s="105"/>
      <c r="AD787" s="105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105"/>
      <c r="AB788" s="105"/>
      <c r="AC788" s="105"/>
      <c r="AD788" s="105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105"/>
      <c r="AB789" s="105"/>
      <c r="AC789" s="105"/>
      <c r="AD789" s="105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105"/>
      <c r="AB790" s="105"/>
      <c r="AC790" s="105"/>
      <c r="AD790" s="105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105"/>
      <c r="AB791" s="105"/>
      <c r="AC791" s="105"/>
      <c r="AD791" s="105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105"/>
      <c r="AB792" s="105"/>
      <c r="AC792" s="105"/>
      <c r="AD792" s="105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105"/>
      <c r="AB793" s="105"/>
      <c r="AC793" s="105"/>
      <c r="AD793" s="105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105"/>
      <c r="AB794" s="105"/>
      <c r="AC794" s="105"/>
      <c r="AD794" s="105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105"/>
      <c r="AB795" s="105"/>
      <c r="AC795" s="105"/>
      <c r="AD795" s="105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105"/>
      <c r="AB796" s="105"/>
      <c r="AC796" s="105"/>
      <c r="AD796" s="105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105"/>
      <c r="AB797" s="105"/>
      <c r="AC797" s="105"/>
      <c r="AD797" s="105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105"/>
      <c r="AB798" s="105"/>
      <c r="AC798" s="105"/>
      <c r="AD798" s="105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105"/>
      <c r="AB799" s="105"/>
      <c r="AC799" s="105"/>
      <c r="AD799" s="105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105"/>
      <c r="AB800" s="105"/>
      <c r="AC800" s="105"/>
      <c r="AD800" s="105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105"/>
      <c r="AB801" s="105"/>
      <c r="AC801" s="105"/>
      <c r="AD801" s="105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105"/>
      <c r="AB802" s="105"/>
      <c r="AC802" s="105"/>
      <c r="AD802" s="105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105"/>
      <c r="AB803" s="105"/>
      <c r="AC803" s="105"/>
      <c r="AD803" s="105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105"/>
      <c r="AB804" s="105"/>
      <c r="AC804" s="105"/>
      <c r="AD804" s="105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105"/>
      <c r="AB805" s="105"/>
      <c r="AC805" s="105"/>
      <c r="AD805" s="105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105"/>
      <c r="AB806" s="105"/>
      <c r="AC806" s="105"/>
      <c r="AD806" s="105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105"/>
      <c r="AB807" s="105"/>
      <c r="AC807" s="105"/>
      <c r="AD807" s="105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105"/>
      <c r="AB808" s="105"/>
      <c r="AC808" s="105"/>
      <c r="AD808" s="105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105"/>
      <c r="AB809" s="105"/>
      <c r="AC809" s="105"/>
      <c r="AD809" s="105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105"/>
      <c r="AB810" s="105"/>
      <c r="AC810" s="105"/>
      <c r="AD810" s="105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105"/>
      <c r="AB811" s="105"/>
      <c r="AC811" s="105"/>
      <c r="AD811" s="105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105"/>
      <c r="AB812" s="105"/>
      <c r="AC812" s="105"/>
      <c r="AD812" s="105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105"/>
      <c r="AB813" s="105"/>
      <c r="AC813" s="105"/>
      <c r="AD813" s="105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105"/>
      <c r="AB814" s="105"/>
      <c r="AC814" s="105"/>
      <c r="AD814" s="105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105"/>
      <c r="AB815" s="105"/>
      <c r="AC815" s="105"/>
      <c r="AD815" s="105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105"/>
      <c r="AB816" s="105"/>
      <c r="AC816" s="105"/>
      <c r="AD816" s="105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105"/>
      <c r="AB817" s="105"/>
      <c r="AC817" s="105"/>
      <c r="AD817" s="105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105"/>
      <c r="AB818" s="105"/>
      <c r="AC818" s="105"/>
      <c r="AD818" s="105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105"/>
      <c r="AB819" s="105"/>
      <c r="AC819" s="105"/>
      <c r="AD819" s="105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105"/>
      <c r="AB820" s="105"/>
      <c r="AC820" s="105"/>
      <c r="AD820" s="105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105"/>
      <c r="AB821" s="105"/>
      <c r="AC821" s="105"/>
      <c r="AD821" s="105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105"/>
      <c r="AB822" s="105"/>
      <c r="AC822" s="105"/>
      <c r="AD822" s="105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105"/>
      <c r="AB823" s="105"/>
      <c r="AC823" s="105"/>
      <c r="AD823" s="105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105"/>
      <c r="AB824" s="105"/>
      <c r="AC824" s="105"/>
      <c r="AD824" s="105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105"/>
      <c r="AB825" s="105"/>
      <c r="AC825" s="105"/>
      <c r="AD825" s="105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105"/>
      <c r="AB826" s="105"/>
      <c r="AC826" s="105"/>
      <c r="AD826" s="105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105"/>
      <c r="AB827" s="105"/>
      <c r="AC827" s="105"/>
      <c r="AD827" s="105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105"/>
      <c r="AB828" s="105"/>
      <c r="AC828" s="105"/>
      <c r="AD828" s="105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105"/>
      <c r="AB829" s="105"/>
      <c r="AC829" s="105"/>
      <c r="AD829" s="105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105"/>
      <c r="AB830" s="105"/>
      <c r="AC830" s="105"/>
      <c r="AD830" s="105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105"/>
      <c r="AB831" s="105"/>
      <c r="AC831" s="105"/>
      <c r="AD831" s="105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105"/>
      <c r="AB832" s="105"/>
      <c r="AC832" s="105"/>
      <c r="AD832" s="105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105"/>
      <c r="AB833" s="105"/>
      <c r="AC833" s="105"/>
      <c r="AD833" s="105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105"/>
      <c r="AB834" s="105"/>
      <c r="AC834" s="105"/>
      <c r="AD834" s="105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105"/>
      <c r="AB835" s="105"/>
      <c r="AC835" s="105"/>
      <c r="AD835" s="105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105"/>
      <c r="AB836" s="105"/>
      <c r="AC836" s="105"/>
      <c r="AD836" s="105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105"/>
      <c r="AB837" s="105"/>
      <c r="AC837" s="105"/>
      <c r="AD837" s="105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105"/>
      <c r="AB838" s="105"/>
      <c r="AC838" s="105"/>
      <c r="AD838" s="105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105"/>
      <c r="AB839" s="105"/>
      <c r="AC839" s="105"/>
      <c r="AD839" s="105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105"/>
      <c r="AB840" s="105"/>
      <c r="AC840" s="105"/>
      <c r="AD840" s="105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105"/>
      <c r="AB841" s="105"/>
      <c r="AC841" s="105"/>
      <c r="AD841" s="105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105"/>
      <c r="AB842" s="105"/>
      <c r="AC842" s="105"/>
      <c r="AD842" s="105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105"/>
      <c r="AB843" s="105"/>
      <c r="AC843" s="105"/>
      <c r="AD843" s="105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105"/>
      <c r="AB844" s="105"/>
      <c r="AC844" s="105"/>
      <c r="AD844" s="105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105"/>
      <c r="AB845" s="105"/>
      <c r="AC845" s="105"/>
      <c r="AD845" s="105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105"/>
      <c r="AB846" s="105"/>
      <c r="AC846" s="105"/>
      <c r="AD846" s="105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105"/>
      <c r="AB847" s="105"/>
      <c r="AC847" s="105"/>
      <c r="AD847" s="105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105"/>
      <c r="AB848" s="105"/>
      <c r="AC848" s="105"/>
      <c r="AD848" s="105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105"/>
      <c r="AB849" s="105"/>
      <c r="AC849" s="105"/>
      <c r="AD849" s="105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105"/>
      <c r="AB850" s="105"/>
      <c r="AC850" s="105"/>
      <c r="AD850" s="105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105"/>
      <c r="AB851" s="105"/>
      <c r="AC851" s="105"/>
      <c r="AD851" s="105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105"/>
      <c r="AB852" s="105"/>
      <c r="AC852" s="105"/>
      <c r="AD852" s="105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105"/>
      <c r="AB853" s="105"/>
      <c r="AC853" s="105"/>
      <c r="AD853" s="105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105"/>
      <c r="AB854" s="105"/>
      <c r="AC854" s="105"/>
      <c r="AD854" s="105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105"/>
      <c r="AB855" s="105"/>
      <c r="AC855" s="105"/>
      <c r="AD855" s="105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105"/>
      <c r="AB856" s="105"/>
      <c r="AC856" s="105"/>
      <c r="AD856" s="105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105"/>
      <c r="AB857" s="105"/>
      <c r="AC857" s="105"/>
      <c r="AD857" s="105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105"/>
      <c r="AB858" s="105"/>
      <c r="AC858" s="105"/>
      <c r="AD858" s="105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105"/>
      <c r="AB859" s="105"/>
      <c r="AC859" s="105"/>
      <c r="AD859" s="105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105"/>
      <c r="AB860" s="105"/>
      <c r="AC860" s="105"/>
      <c r="AD860" s="105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105"/>
      <c r="AB861" s="105"/>
      <c r="AC861" s="105"/>
      <c r="AD861" s="105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105"/>
      <c r="AB862" s="105"/>
      <c r="AC862" s="105"/>
      <c r="AD862" s="105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105"/>
      <c r="AB863" s="105"/>
      <c r="AC863" s="105"/>
      <c r="AD863" s="105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105"/>
      <c r="AB864" s="105"/>
      <c r="AC864" s="105"/>
      <c r="AD864" s="105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105"/>
      <c r="AB865" s="105"/>
      <c r="AC865" s="105"/>
      <c r="AD865" s="105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105"/>
      <c r="AB866" s="105"/>
      <c r="AC866" s="105"/>
      <c r="AD866" s="105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105"/>
      <c r="AB867" s="105"/>
      <c r="AC867" s="105"/>
      <c r="AD867" s="105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105"/>
      <c r="AB868" s="105"/>
      <c r="AC868" s="105"/>
      <c r="AD868" s="105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105"/>
      <c r="AB869" s="105"/>
      <c r="AC869" s="105"/>
      <c r="AD869" s="105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105"/>
      <c r="AB870" s="105"/>
      <c r="AC870" s="105"/>
      <c r="AD870" s="105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105"/>
      <c r="AB871" s="105"/>
      <c r="AC871" s="105"/>
      <c r="AD871" s="105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105"/>
      <c r="AB872" s="105"/>
      <c r="AC872" s="105"/>
      <c r="AD872" s="105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105"/>
      <c r="AB873" s="105"/>
      <c r="AC873" s="105"/>
      <c r="AD873" s="105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105"/>
      <c r="AB874" s="105"/>
      <c r="AC874" s="105"/>
      <c r="AD874" s="105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105"/>
      <c r="AB875" s="105"/>
      <c r="AC875" s="105"/>
      <c r="AD875" s="105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105"/>
      <c r="AB876" s="105"/>
      <c r="AC876" s="105"/>
      <c r="AD876" s="105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105"/>
      <c r="AB877" s="105"/>
      <c r="AC877" s="105"/>
      <c r="AD877" s="105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105"/>
      <c r="AB878" s="105"/>
      <c r="AC878" s="105"/>
      <c r="AD878" s="105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105"/>
      <c r="AB879" s="105"/>
      <c r="AC879" s="105"/>
      <c r="AD879" s="105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105"/>
      <c r="AB880" s="105"/>
      <c r="AC880" s="105"/>
      <c r="AD880" s="105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105"/>
      <c r="AB881" s="105"/>
      <c r="AC881" s="105"/>
      <c r="AD881" s="105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105"/>
      <c r="AB882" s="105"/>
      <c r="AC882" s="105"/>
      <c r="AD882" s="105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105"/>
      <c r="AB883" s="105"/>
      <c r="AC883" s="105"/>
      <c r="AD883" s="105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105"/>
      <c r="AB884" s="105"/>
      <c r="AC884" s="105"/>
      <c r="AD884" s="105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105"/>
      <c r="AB885" s="105"/>
      <c r="AC885" s="105"/>
      <c r="AD885" s="105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105"/>
      <c r="AB886" s="105"/>
      <c r="AC886" s="105"/>
      <c r="AD886" s="105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105"/>
      <c r="AB887" s="105"/>
      <c r="AC887" s="105"/>
      <c r="AD887" s="105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105"/>
      <c r="AB888" s="105"/>
      <c r="AC888" s="105"/>
      <c r="AD888" s="105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105"/>
      <c r="AB889" s="105"/>
      <c r="AC889" s="105"/>
      <c r="AD889" s="105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105"/>
      <c r="AB890" s="105"/>
      <c r="AC890" s="105"/>
      <c r="AD890" s="105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105"/>
      <c r="AB891" s="105"/>
      <c r="AC891" s="105"/>
      <c r="AD891" s="105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105"/>
      <c r="AB892" s="105"/>
      <c r="AC892" s="105"/>
      <c r="AD892" s="105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105"/>
      <c r="AB893" s="105"/>
      <c r="AC893" s="105"/>
      <c r="AD893" s="105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105"/>
      <c r="AB894" s="105"/>
      <c r="AC894" s="105"/>
      <c r="AD894" s="105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105"/>
      <c r="AB895" s="105"/>
      <c r="AC895" s="105"/>
      <c r="AD895" s="105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105"/>
      <c r="AB896" s="105"/>
      <c r="AC896" s="105"/>
      <c r="AD896" s="105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105"/>
      <c r="AB897" s="105"/>
      <c r="AC897" s="105"/>
      <c r="AD897" s="105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105"/>
      <c r="AB898" s="105"/>
      <c r="AC898" s="105"/>
      <c r="AD898" s="105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105"/>
      <c r="AB899" s="105"/>
      <c r="AC899" s="105"/>
      <c r="AD899" s="105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105"/>
      <c r="AB900" s="105"/>
      <c r="AC900" s="105"/>
      <c r="AD900" s="105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105"/>
      <c r="AB901" s="105"/>
      <c r="AC901" s="105"/>
      <c r="AD901" s="105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105"/>
      <c r="AB902" s="105"/>
      <c r="AC902" s="105"/>
      <c r="AD902" s="105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105"/>
      <c r="AB903" s="105"/>
      <c r="AC903" s="105"/>
      <c r="AD903" s="105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105"/>
      <c r="AB904" s="105"/>
      <c r="AC904" s="105"/>
      <c r="AD904" s="105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105"/>
      <c r="AB905" s="105"/>
      <c r="AC905" s="105"/>
      <c r="AD905" s="105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105"/>
      <c r="AB906" s="105"/>
      <c r="AC906" s="105"/>
      <c r="AD906" s="105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105"/>
      <c r="AB907" s="105"/>
      <c r="AC907" s="105"/>
      <c r="AD907" s="105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105"/>
      <c r="AB908" s="105"/>
      <c r="AC908" s="105"/>
      <c r="AD908" s="105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105"/>
      <c r="AB909" s="105"/>
      <c r="AC909" s="105"/>
      <c r="AD909" s="105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105"/>
      <c r="AB910" s="105"/>
      <c r="AC910" s="105"/>
      <c r="AD910" s="105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105"/>
      <c r="AB911" s="105"/>
      <c r="AC911" s="105"/>
      <c r="AD911" s="105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105"/>
      <c r="AB912" s="105"/>
      <c r="AC912" s="105"/>
      <c r="AD912" s="105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105"/>
      <c r="AB913" s="105"/>
      <c r="AC913" s="105"/>
      <c r="AD913" s="105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105"/>
      <c r="AB914" s="105"/>
      <c r="AC914" s="105"/>
      <c r="AD914" s="105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105"/>
      <c r="AB915" s="105"/>
      <c r="AC915" s="105"/>
      <c r="AD915" s="105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105"/>
      <c r="AB916" s="105"/>
      <c r="AC916" s="105"/>
      <c r="AD916" s="105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105"/>
      <c r="AB917" s="105"/>
      <c r="AC917" s="105"/>
      <c r="AD917" s="105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105"/>
      <c r="AB918" s="105"/>
      <c r="AC918" s="105"/>
      <c r="AD918" s="105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105"/>
      <c r="AB919" s="105"/>
      <c r="AC919" s="105"/>
      <c r="AD919" s="105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105"/>
      <c r="AB920" s="105"/>
      <c r="AC920" s="105"/>
      <c r="AD920" s="105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105"/>
      <c r="AB921" s="105"/>
      <c r="AC921" s="105"/>
      <c r="AD921" s="105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105"/>
      <c r="AB922" s="105"/>
      <c r="AC922" s="105"/>
      <c r="AD922" s="105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105"/>
      <c r="AB923" s="105"/>
      <c r="AC923" s="105"/>
      <c r="AD923" s="105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105"/>
      <c r="AB924" s="105"/>
      <c r="AC924" s="105"/>
      <c r="AD924" s="105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105"/>
      <c r="AB925" s="105"/>
      <c r="AC925" s="105"/>
      <c r="AD925" s="105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105"/>
      <c r="AB926" s="105"/>
      <c r="AC926" s="105"/>
      <c r="AD926" s="105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105"/>
      <c r="AB927" s="105"/>
      <c r="AC927" s="105"/>
      <c r="AD927" s="105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105"/>
      <c r="AB928" s="105"/>
      <c r="AC928" s="105"/>
      <c r="AD928" s="105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105"/>
      <c r="AB929" s="105"/>
      <c r="AC929" s="105"/>
      <c r="AD929" s="105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105"/>
      <c r="AB930" s="105"/>
      <c r="AC930" s="105"/>
      <c r="AD930" s="105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105"/>
      <c r="AB931" s="105"/>
      <c r="AC931" s="105"/>
      <c r="AD931" s="105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105"/>
      <c r="AB932" s="105"/>
      <c r="AC932" s="105"/>
      <c r="AD932" s="105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105"/>
      <c r="AB933" s="105"/>
      <c r="AC933" s="105"/>
      <c r="AD933" s="105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105"/>
      <c r="AB934" s="105"/>
      <c r="AC934" s="105"/>
      <c r="AD934" s="105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105"/>
      <c r="AB935" s="105"/>
      <c r="AC935" s="105"/>
      <c r="AD935" s="105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105"/>
      <c r="AB936" s="105"/>
      <c r="AC936" s="105"/>
      <c r="AD936" s="105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105"/>
      <c r="AB937" s="105"/>
      <c r="AC937" s="105"/>
      <c r="AD937" s="105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105"/>
      <c r="AB938" s="105"/>
      <c r="AC938" s="105"/>
      <c r="AD938" s="105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105"/>
      <c r="AB939" s="105"/>
      <c r="AC939" s="105"/>
      <c r="AD939" s="105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105"/>
      <c r="AB940" s="105"/>
      <c r="AC940" s="105"/>
      <c r="AD940" s="105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105"/>
      <c r="AB941" s="105"/>
      <c r="AC941" s="105"/>
      <c r="AD941" s="105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105"/>
      <c r="AB942" s="105"/>
      <c r="AC942" s="105"/>
      <c r="AD942" s="105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105"/>
      <c r="AB943" s="105"/>
      <c r="AC943" s="105"/>
      <c r="AD943" s="105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105"/>
      <c r="AB944" s="105"/>
      <c r="AC944" s="105"/>
      <c r="AD944" s="105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105"/>
      <c r="AB945" s="105"/>
      <c r="AC945" s="105"/>
      <c r="AD945" s="105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105"/>
      <c r="AB946" s="105"/>
      <c r="AC946" s="105"/>
      <c r="AD946" s="105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105"/>
      <c r="AB947" s="105"/>
      <c r="AC947" s="105"/>
      <c r="AD947" s="105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105"/>
      <c r="AB948" s="105"/>
      <c r="AC948" s="105"/>
      <c r="AD948" s="105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105"/>
      <c r="AB949" s="105"/>
      <c r="AC949" s="105"/>
      <c r="AD949" s="105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105"/>
      <c r="AB950" s="105"/>
      <c r="AC950" s="105"/>
      <c r="AD950" s="105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105"/>
      <c r="AB951" s="105"/>
      <c r="AC951" s="105"/>
      <c r="AD951" s="105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105"/>
      <c r="AB952" s="105"/>
      <c r="AC952" s="105"/>
      <c r="AD952" s="105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105"/>
      <c r="AB953" s="105"/>
      <c r="AC953" s="105"/>
      <c r="AD953" s="105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105"/>
      <c r="AB954" s="105"/>
      <c r="AC954" s="105"/>
      <c r="AD954" s="105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105"/>
      <c r="AB955" s="105"/>
      <c r="AC955" s="105"/>
      <c r="AD955" s="105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105"/>
      <c r="AB956" s="105"/>
      <c r="AC956" s="105"/>
      <c r="AD956" s="105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105"/>
      <c r="AB957" s="105"/>
      <c r="AC957" s="105"/>
      <c r="AD957" s="105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105"/>
      <c r="AB958" s="105"/>
      <c r="AC958" s="105"/>
      <c r="AD958" s="105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105"/>
      <c r="AB959" s="105"/>
      <c r="AC959" s="105"/>
      <c r="AD959" s="105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105"/>
      <c r="AB960" s="105"/>
      <c r="AC960" s="105"/>
      <c r="AD960" s="105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105"/>
      <c r="AB961" s="105"/>
      <c r="AC961" s="105"/>
      <c r="AD961" s="105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105"/>
      <c r="AB962" s="105"/>
      <c r="AC962" s="105"/>
      <c r="AD962" s="105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105"/>
      <c r="AB963" s="105"/>
      <c r="AC963" s="105"/>
      <c r="AD963" s="105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105"/>
      <c r="AB964" s="105"/>
      <c r="AC964" s="105"/>
      <c r="AD964" s="105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105"/>
      <c r="AB965" s="105"/>
      <c r="AC965" s="105"/>
      <c r="AD965" s="105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105"/>
      <c r="AB966" s="105"/>
      <c r="AC966" s="105"/>
      <c r="AD966" s="105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105"/>
      <c r="AB967" s="105"/>
      <c r="AC967" s="105"/>
      <c r="AD967" s="105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105"/>
      <c r="AB968" s="105"/>
      <c r="AC968" s="105"/>
      <c r="AD968" s="105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105"/>
      <c r="AB969" s="105"/>
      <c r="AC969" s="105"/>
      <c r="AD969" s="105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105"/>
      <c r="AB970" s="105"/>
      <c r="AC970" s="105"/>
      <c r="AD970" s="105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105"/>
      <c r="AB971" s="105"/>
      <c r="AC971" s="105"/>
      <c r="AD971" s="105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105"/>
      <c r="AB972" s="105"/>
      <c r="AC972" s="105"/>
      <c r="AD972" s="105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105"/>
      <c r="AB973" s="105"/>
      <c r="AC973" s="105"/>
      <c r="AD973" s="105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105"/>
      <c r="AB974" s="105"/>
      <c r="AC974" s="105"/>
      <c r="AD974" s="105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105"/>
      <c r="AB975" s="105"/>
      <c r="AC975" s="105"/>
      <c r="AD975" s="105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105"/>
      <c r="AB976" s="105"/>
      <c r="AC976" s="105"/>
      <c r="AD976" s="105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105"/>
      <c r="AB977" s="105"/>
      <c r="AC977" s="105"/>
      <c r="AD977" s="105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105"/>
      <c r="AB978" s="105"/>
      <c r="AC978" s="105"/>
      <c r="AD978" s="105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105"/>
      <c r="AB979" s="105"/>
      <c r="AC979" s="105"/>
      <c r="AD979" s="105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105"/>
      <c r="AB980" s="105"/>
      <c r="AC980" s="105"/>
      <c r="AD980" s="105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105"/>
      <c r="AB981" s="105"/>
      <c r="AC981" s="105"/>
      <c r="AD981" s="105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105"/>
      <c r="AB982" s="105"/>
      <c r="AC982" s="105"/>
      <c r="AD982" s="105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105"/>
      <c r="AB983" s="105"/>
      <c r="AC983" s="105"/>
      <c r="AD983" s="105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105"/>
      <c r="AB984" s="105"/>
      <c r="AC984" s="105"/>
      <c r="AD984" s="105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105"/>
      <c r="AB985" s="105"/>
      <c r="AC985" s="105"/>
      <c r="AD985" s="105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105"/>
      <c r="AB986" s="105"/>
      <c r="AC986" s="105"/>
      <c r="AD986" s="105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105"/>
      <c r="AB987" s="105"/>
      <c r="AC987" s="105"/>
      <c r="AD987" s="105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105"/>
      <c r="AB988" s="105"/>
      <c r="AC988" s="105"/>
      <c r="AD988" s="105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105"/>
      <c r="AB989" s="105"/>
      <c r="AC989" s="105"/>
      <c r="AD989" s="105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105"/>
      <c r="AB990" s="105"/>
      <c r="AC990" s="105"/>
      <c r="AD990" s="105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105"/>
      <c r="AB991" s="105"/>
      <c r="AC991" s="105"/>
      <c r="AD991" s="105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105"/>
      <c r="AB992" s="105"/>
      <c r="AC992" s="105"/>
      <c r="AD992" s="105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105"/>
      <c r="AB993" s="105"/>
      <c r="AC993" s="105"/>
      <c r="AD993" s="105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105"/>
      <c r="AB994" s="105"/>
      <c r="AC994" s="105"/>
      <c r="AD994" s="105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105"/>
      <c r="AB995" s="105"/>
      <c r="AC995" s="105"/>
      <c r="AD995" s="105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105"/>
      <c r="AB996" s="105"/>
      <c r="AC996" s="105"/>
      <c r="AD996" s="105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105"/>
      <c r="AB997" s="105"/>
      <c r="AC997" s="105"/>
      <c r="AD997" s="105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105"/>
      <c r="AB998" s="105"/>
      <c r="AC998" s="105"/>
      <c r="AD998" s="105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105"/>
      <c r="AB999" s="105"/>
      <c r="AC999" s="105"/>
      <c r="AD999" s="105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105"/>
      <c r="AB1000" s="105"/>
      <c r="AC1000" s="105"/>
      <c r="AD1000" s="105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105"/>
      <c r="AB1001" s="105"/>
      <c r="AC1001" s="105"/>
      <c r="AD1001" s="105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105"/>
      <c r="AB1002" s="105"/>
      <c r="AC1002" s="105"/>
      <c r="AD1002" s="105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105"/>
      <c r="AB1003" s="105"/>
      <c r="AC1003" s="105"/>
      <c r="AD1003" s="105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105"/>
      <c r="AB1004" s="105"/>
      <c r="AC1004" s="105"/>
      <c r="AD1004" s="105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105"/>
      <c r="AB1005" s="105"/>
      <c r="AC1005" s="105"/>
      <c r="AD1005" s="105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105"/>
      <c r="AB1006" s="105"/>
      <c r="AC1006" s="105"/>
      <c r="AD1006" s="105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105"/>
      <c r="AB1007" s="105"/>
      <c r="AC1007" s="105"/>
      <c r="AD1007" s="105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105"/>
      <c r="AB1008" s="105"/>
      <c r="AC1008" s="105"/>
      <c r="AD1008" s="105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105"/>
      <c r="AB1009" s="105"/>
      <c r="AC1009" s="105"/>
      <c r="AD1009" s="105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105"/>
      <c r="AB1010" s="105"/>
      <c r="AC1010" s="105"/>
      <c r="AD1010" s="105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105"/>
      <c r="AB1011" s="105"/>
      <c r="AC1011" s="105"/>
      <c r="AD1011" s="105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105"/>
      <c r="AB1012" s="105"/>
      <c r="AC1012" s="105"/>
      <c r="AD1012" s="105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105"/>
      <c r="AB1013" s="105"/>
      <c r="AC1013" s="105"/>
      <c r="AD1013" s="105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105"/>
      <c r="AB1014" s="105"/>
      <c r="AC1014" s="105"/>
      <c r="AD1014" s="105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105"/>
      <c r="AB1015" s="105"/>
      <c r="AC1015" s="105"/>
      <c r="AD1015" s="105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105"/>
      <c r="AB1016" s="105"/>
      <c r="AC1016" s="105"/>
      <c r="AD1016" s="105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105"/>
      <c r="AB1017" s="105"/>
      <c r="AC1017" s="105"/>
      <c r="AD1017" s="105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105"/>
      <c r="AB1018" s="105"/>
      <c r="AC1018" s="105"/>
      <c r="AD1018" s="105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105"/>
      <c r="AB1019" s="105"/>
      <c r="AC1019" s="105"/>
      <c r="AD1019" s="105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105"/>
      <c r="AB1020" s="105"/>
      <c r="AC1020" s="105"/>
      <c r="AD1020" s="105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105"/>
      <c r="AB1021" s="105"/>
      <c r="AC1021" s="105"/>
      <c r="AD1021" s="105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105"/>
      <c r="AB1022" s="105"/>
      <c r="AC1022" s="105"/>
      <c r="AD1022" s="105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105"/>
      <c r="AB1023" s="105"/>
      <c r="AC1023" s="105"/>
      <c r="AD1023" s="105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105"/>
      <c r="AB1024" s="105"/>
      <c r="AC1024" s="105"/>
      <c r="AD1024" s="105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105"/>
      <c r="AB1025" s="105"/>
      <c r="AC1025" s="105"/>
      <c r="AD1025" s="105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105"/>
      <c r="AB1026" s="105"/>
      <c r="AC1026" s="105"/>
      <c r="AD1026" s="105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105"/>
      <c r="AB1027" s="105"/>
      <c r="AC1027" s="105"/>
      <c r="AD1027" s="105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105"/>
      <c r="AB1028" s="105"/>
      <c r="AC1028" s="105"/>
      <c r="AD1028" s="105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105"/>
      <c r="AB1029" s="105"/>
      <c r="AC1029" s="105"/>
      <c r="AD1029" s="105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105"/>
      <c r="AB1030" s="105"/>
      <c r="AC1030" s="105"/>
      <c r="AD1030" s="105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105"/>
      <c r="AB1031" s="105"/>
      <c r="AC1031" s="105"/>
      <c r="AD1031" s="105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105"/>
      <c r="AB1032" s="105"/>
      <c r="AC1032" s="105"/>
      <c r="AD1032" s="105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105"/>
      <c r="AB1033" s="105"/>
      <c r="AC1033" s="105"/>
      <c r="AD1033" s="105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105"/>
      <c r="AB1034" s="105"/>
      <c r="AC1034" s="105"/>
      <c r="AD1034" s="105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105"/>
      <c r="AB1035" s="105"/>
      <c r="AC1035" s="105"/>
      <c r="AD1035" s="105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105"/>
      <c r="AB1036" s="105"/>
      <c r="AC1036" s="105"/>
      <c r="AD1036" s="105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105"/>
      <c r="AB1037" s="105"/>
      <c r="AC1037" s="105"/>
      <c r="AD1037" s="105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105"/>
      <c r="AB1038" s="105"/>
      <c r="AC1038" s="105"/>
      <c r="AD1038" s="105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105"/>
      <c r="AB1039" s="105"/>
      <c r="AC1039" s="105"/>
      <c r="AD1039" s="105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105"/>
      <c r="AB1040" s="105"/>
      <c r="AC1040" s="105"/>
      <c r="AD1040" s="105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105"/>
      <c r="AB1041" s="105"/>
      <c r="AC1041" s="105"/>
      <c r="AD1041" s="105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105"/>
      <c r="AB1042" s="105"/>
      <c r="AC1042" s="105"/>
      <c r="AD1042" s="105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105"/>
      <c r="AB1043" s="105"/>
      <c r="AC1043" s="105"/>
      <c r="AD1043" s="105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105"/>
      <c r="AB1044" s="105"/>
      <c r="AC1044" s="105"/>
      <c r="AD1044" s="105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105"/>
      <c r="AB1045" s="105"/>
      <c r="AC1045" s="105"/>
      <c r="AD1045" s="105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105"/>
      <c r="AB1046" s="105"/>
      <c r="AC1046" s="105"/>
      <c r="AD1046" s="105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105"/>
      <c r="AB1047" s="105"/>
      <c r="AC1047" s="105"/>
      <c r="AD1047" s="105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105"/>
      <c r="AB1048" s="105"/>
      <c r="AC1048" s="105"/>
      <c r="AD1048" s="105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105"/>
      <c r="AB1049" s="105"/>
      <c r="AC1049" s="105"/>
      <c r="AD1049" s="105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105"/>
      <c r="AB1050" s="105"/>
      <c r="AC1050" s="105"/>
      <c r="AD1050" s="105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105"/>
      <c r="AB1051" s="105"/>
      <c r="AC1051" s="105"/>
      <c r="AD1051" s="105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105"/>
      <c r="AB1052" s="105"/>
      <c r="AC1052" s="105"/>
      <c r="AD1052" s="105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105"/>
      <c r="AB1053" s="105"/>
      <c r="AC1053" s="105"/>
      <c r="AD1053" s="105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105"/>
      <c r="AB1054" s="105"/>
      <c r="AC1054" s="105"/>
      <c r="AD1054" s="105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105"/>
      <c r="AB1055" s="105"/>
      <c r="AC1055" s="105"/>
      <c r="AD1055" s="105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105"/>
      <c r="AB1056" s="105"/>
      <c r="AC1056" s="105"/>
      <c r="AD1056" s="105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105"/>
      <c r="AB1057" s="105"/>
      <c r="AC1057" s="105"/>
      <c r="AD1057" s="105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105"/>
      <c r="AB1058" s="105"/>
      <c r="AC1058" s="105"/>
      <c r="AD1058" s="105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105"/>
      <c r="AB1059" s="105"/>
      <c r="AC1059" s="105"/>
      <c r="AD1059" s="105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105"/>
      <c r="AB1060" s="105"/>
      <c r="AC1060" s="105"/>
      <c r="AD1060" s="105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105"/>
      <c r="AB1061" s="105"/>
      <c r="AC1061" s="105"/>
      <c r="AD1061" s="105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105"/>
      <c r="AB1062" s="105"/>
      <c r="AC1062" s="105"/>
      <c r="AD1062" s="105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105"/>
      <c r="AB1063" s="105"/>
      <c r="AC1063" s="105"/>
      <c r="AD1063" s="105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105"/>
      <c r="AB1064" s="105"/>
      <c r="AC1064" s="105"/>
      <c r="AD1064" s="105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105"/>
      <c r="AB1065" s="105"/>
      <c r="AC1065" s="105"/>
      <c r="AD1065" s="105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105"/>
      <c r="AB1066" s="105"/>
      <c r="AC1066" s="105"/>
      <c r="AD1066" s="105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105"/>
      <c r="AB1067" s="105"/>
      <c r="AC1067" s="105"/>
      <c r="AD1067" s="105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105"/>
      <c r="AB1068" s="105"/>
      <c r="AC1068" s="105"/>
      <c r="AD1068" s="105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105"/>
      <c r="AB1069" s="105"/>
      <c r="AC1069" s="105"/>
      <c r="AD1069" s="105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105"/>
      <c r="AB1070" s="105"/>
      <c r="AC1070" s="105"/>
      <c r="AD1070" s="105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105"/>
      <c r="AB1071" s="105"/>
      <c r="AC1071" s="105"/>
      <c r="AD1071" s="105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105"/>
      <c r="AB1072" s="105"/>
      <c r="AC1072" s="105"/>
      <c r="AD1072" s="105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105"/>
      <c r="AB1073" s="105"/>
      <c r="AC1073" s="105"/>
      <c r="AD1073" s="105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105"/>
      <c r="AB1074" s="105"/>
      <c r="AC1074" s="105"/>
      <c r="AD1074" s="105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105"/>
      <c r="AB1075" s="105"/>
      <c r="AC1075" s="105"/>
      <c r="AD1075" s="105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105"/>
      <c r="AB1076" s="105"/>
      <c r="AC1076" s="105"/>
      <c r="AD1076" s="105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105"/>
      <c r="AB1077" s="105"/>
      <c r="AC1077" s="105"/>
      <c r="AD1077" s="105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105"/>
      <c r="AB1078" s="105"/>
      <c r="AC1078" s="105"/>
      <c r="AD1078" s="105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105"/>
      <c r="AB1079" s="105"/>
      <c r="AC1079" s="105"/>
      <c r="AD1079" s="105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105"/>
      <c r="AB1080" s="105"/>
      <c r="AC1080" s="105"/>
      <c r="AD1080" s="105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105"/>
      <c r="AB1081" s="105"/>
      <c r="AC1081" s="105"/>
      <c r="AD1081" s="105"/>
    </row>
  </sheetData>
  <autoFilter ref="$G$8:$K$20">
    <sortState ref="G8:K20">
      <sortCondition ref="G8:G20"/>
    </sortState>
  </autoFilter>
  <mergeCells count="7">
    <mergeCell ref="G2:I4"/>
    <mergeCell ref="B7:E7"/>
    <mergeCell ref="G7:K7"/>
    <mergeCell ref="M7:R7"/>
    <mergeCell ref="T7:Z7"/>
    <mergeCell ref="C45:E45"/>
    <mergeCell ref="M104:R104"/>
  </mergeCells>
  <dataValidations>
    <dataValidation type="list" allowBlank="1" showErrorMessage="1" sqref="O9:O21 O106:O115">
      <formula1>"Alimentação,Beleza,Bem-estar/Saúde,Celular/tecnologia,Contabilidade/impostos,Educação médica,Eventos,Futilidades,Lazer,Presentes,Roupas/acessórios,Transporte,Viagens,Reembolsos,Casa"</formula1>
    </dataValidation>
    <dataValidation type="list" allowBlank="1" showErrorMessage="1" sqref="R14:R15 E9:E19 R111:R112 R116:R120">
      <formula1>"Pix,Itaú,Nubank,Dinheiro"</formula1>
    </dataValidation>
    <dataValidation type="list" allowBlank="1" showErrorMessage="1" sqref="I9:I95 O22:O95 O116:O120">
      <formula1>"Alimentação,Beleza,Bem-estar/Saúde,Celular/tecnologia,Contabilidade/impostos,Educação médica,Eventos,Futilidades,Lazer,Presentes,Roupas/acessórios,Transporte,Viagens,Reembolsos,Casa"</formula1>
    </dataValidation>
    <dataValidation type="list" allowBlank="1" showErrorMessage="1" sqref="R9:R13 K9:K95 R16:R95 R106:R110 R113:R115">
      <formula1>"Pix,Itaú,Nubank,Dinheiro,Boleto"</formula1>
    </dataValidation>
    <dataValidation type="list" allowBlank="1" showErrorMessage="1" sqref="C9:C19">
      <formula1>"Asmel,Aval,Salubritá,Reembolsos,Outros,Rendimentos"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D01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3"/>
      <c r="N3" s="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F4" s="2"/>
      <c r="G4" s="2"/>
      <c r="H4" s="2"/>
      <c r="I4" s="2"/>
      <c r="J4" s="2"/>
      <c r="K4" s="146"/>
      <c r="L4" s="147" t="s">
        <v>268</v>
      </c>
      <c r="M4" s="148" t="s">
        <v>269</v>
      </c>
      <c r="N4" s="149" t="s">
        <v>270</v>
      </c>
      <c r="O4" s="9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F5" s="2"/>
      <c r="G5" s="2"/>
      <c r="H5" s="2"/>
      <c r="I5" s="2"/>
      <c r="J5" s="4"/>
      <c r="K5" s="150" t="s">
        <v>1</v>
      </c>
      <c r="L5" s="151">
        <f>Outubro!D28</f>
        <v>7343.51</v>
      </c>
      <c r="M5" s="42">
        <f>Novembro!I30</f>
        <v>9305.04</v>
      </c>
      <c r="N5" s="42">
        <f>Dezembro!D48</f>
        <v>8976.66</v>
      </c>
      <c r="O5" s="9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F6" s="2"/>
      <c r="G6" s="2"/>
      <c r="H6" s="2"/>
      <c r="I6" s="2"/>
      <c r="J6" s="4"/>
      <c r="K6" s="150" t="s">
        <v>271</v>
      </c>
      <c r="L6" s="151">
        <f>Outubro!D31</f>
        <v>5968.24</v>
      </c>
      <c r="M6" s="42">
        <f>Novembro!I33</f>
        <v>6698.61</v>
      </c>
      <c r="N6" s="42">
        <f>Dezembro!D51</f>
        <v>5196.89</v>
      </c>
      <c r="O6" s="9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F7" s="2"/>
      <c r="G7" s="2"/>
      <c r="H7" s="2"/>
      <c r="I7" s="2"/>
      <c r="J7" s="4"/>
      <c r="K7" s="150" t="s">
        <v>272</v>
      </c>
      <c r="L7" s="151">
        <f>Outubro!D32</f>
        <v>15200</v>
      </c>
      <c r="M7" s="42">
        <f>Novembro!I34</f>
        <v>4250</v>
      </c>
      <c r="N7" s="42">
        <f>Dezembro!D52</f>
        <v>0</v>
      </c>
      <c r="O7" s="9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F8" s="2"/>
      <c r="G8" s="2"/>
      <c r="H8" s="2"/>
      <c r="I8" s="2"/>
      <c r="J8" s="4"/>
      <c r="K8" s="150" t="s">
        <v>273</v>
      </c>
      <c r="L8" s="151">
        <f>Outubro!D33</f>
        <v>3087.31</v>
      </c>
      <c r="M8" s="42">
        <f>Novembro!I35</f>
        <v>1629.89</v>
      </c>
      <c r="N8" s="42">
        <f>Dezembro!D53</f>
        <v>3779.77</v>
      </c>
      <c r="O8" s="9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15"/>
      <c r="L9" s="152"/>
      <c r="M9" s="152"/>
      <c r="N9" s="15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153"/>
      <c r="L10" s="154" t="s">
        <v>274</v>
      </c>
      <c r="M10" s="38">
        <v>6880.0</v>
      </c>
      <c r="N10" s="9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153"/>
      <c r="L11" s="154" t="s">
        <v>275</v>
      </c>
      <c r="M11" s="38">
        <v>3440.0</v>
      </c>
      <c r="N11" s="9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153"/>
      <c r="L12" s="154" t="s">
        <v>276</v>
      </c>
      <c r="M12" s="38">
        <v>3440.0</v>
      </c>
      <c r="N12" s="9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15"/>
      <c r="M13" s="15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6AB6"/>
    <outlinePr summaryBelow="0" summaryRight="0"/>
  </sheetPr>
  <sheetViews>
    <sheetView workbookViewId="0"/>
  </sheetViews>
  <sheetFormatPr customHeight="1" defaultColWidth="12.63" defaultRowHeight="15.75"/>
  <cols>
    <col customWidth="1" min="4" max="4" width="8.25"/>
    <col customWidth="1" min="5" max="5" width="25.25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/>
      <c r="C3" s="2"/>
      <c r="D3" s="2"/>
      <c r="E3" s="2"/>
      <c r="F3" s="2"/>
      <c r="G3" s="15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2"/>
      <c r="C6" s="2"/>
      <c r="D6" s="2"/>
      <c r="E6" s="3"/>
      <c r="F6" s="3"/>
      <c r="G6" s="3"/>
      <c r="H6" s="3"/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2"/>
      <c r="C7" s="2"/>
      <c r="D7" s="4"/>
      <c r="E7" s="156" t="s">
        <v>277</v>
      </c>
      <c r="F7" s="17"/>
      <c r="G7" s="17"/>
      <c r="H7" s="17"/>
      <c r="I7" s="17"/>
      <c r="J7" s="18"/>
      <c r="K7" s="9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2"/>
      <c r="C8" s="2"/>
      <c r="D8" s="4"/>
      <c r="E8" s="157"/>
      <c r="F8" s="158" t="s">
        <v>7</v>
      </c>
      <c r="G8" s="158" t="s">
        <v>278</v>
      </c>
      <c r="H8" s="158" t="s">
        <v>12</v>
      </c>
      <c r="I8" s="158" t="s">
        <v>5</v>
      </c>
      <c r="J8" s="158" t="s">
        <v>279</v>
      </c>
      <c r="K8" s="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4"/>
      <c r="E9" s="159" t="s">
        <v>280</v>
      </c>
      <c r="F9" s="42"/>
      <c r="G9" s="37" t="s">
        <v>281</v>
      </c>
      <c r="H9" s="37" t="s">
        <v>23</v>
      </c>
      <c r="I9" s="37" t="s">
        <v>23</v>
      </c>
      <c r="J9" s="37" t="b">
        <v>0</v>
      </c>
      <c r="K9" s="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4"/>
      <c r="E10" s="159" t="s">
        <v>282</v>
      </c>
      <c r="F10" s="38">
        <v>30000.0</v>
      </c>
      <c r="G10" s="37" t="s">
        <v>283</v>
      </c>
      <c r="H10" s="37" t="s">
        <v>23</v>
      </c>
      <c r="I10" s="37" t="s">
        <v>23</v>
      </c>
      <c r="J10" s="142" t="b">
        <v>0</v>
      </c>
      <c r="K10" s="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4"/>
      <c r="E11" s="159" t="s">
        <v>284</v>
      </c>
      <c r="F11" s="42"/>
      <c r="G11" s="37" t="s">
        <v>285</v>
      </c>
      <c r="H11" s="37" t="s">
        <v>23</v>
      </c>
      <c r="I11" s="37" t="s">
        <v>23</v>
      </c>
      <c r="J11" s="142" t="b">
        <v>0</v>
      </c>
      <c r="K11" s="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4"/>
      <c r="E12" s="159" t="s">
        <v>286</v>
      </c>
      <c r="F12" s="38">
        <v>300.0</v>
      </c>
      <c r="G12" s="37" t="s">
        <v>285</v>
      </c>
      <c r="H12" s="37" t="s">
        <v>23</v>
      </c>
      <c r="I12" s="37" t="s">
        <v>23</v>
      </c>
      <c r="J12" s="142" t="b">
        <v>0</v>
      </c>
      <c r="K12" s="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4"/>
      <c r="E13" s="159" t="s">
        <v>287</v>
      </c>
      <c r="F13" s="38">
        <v>700.0</v>
      </c>
      <c r="G13" s="37" t="s">
        <v>283</v>
      </c>
      <c r="H13" s="37" t="s">
        <v>23</v>
      </c>
      <c r="I13" s="37" t="s">
        <v>23</v>
      </c>
      <c r="J13" s="142" t="b">
        <v>0</v>
      </c>
      <c r="K13" s="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4"/>
      <c r="E14" s="159" t="s">
        <v>288</v>
      </c>
      <c r="F14" s="38">
        <v>600.0</v>
      </c>
      <c r="G14" s="37" t="s">
        <v>285</v>
      </c>
      <c r="H14" s="37" t="s">
        <v>23</v>
      </c>
      <c r="I14" s="37" t="s">
        <v>23</v>
      </c>
      <c r="J14" s="37" t="b">
        <v>0</v>
      </c>
      <c r="K14" s="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4"/>
      <c r="E15" s="159" t="s">
        <v>289</v>
      </c>
      <c r="F15" s="38">
        <v>2000.0</v>
      </c>
      <c r="G15" s="37" t="s">
        <v>281</v>
      </c>
      <c r="H15" s="37" t="s">
        <v>23</v>
      </c>
      <c r="I15" s="37" t="s">
        <v>23</v>
      </c>
      <c r="J15" s="37" t="b">
        <v>0</v>
      </c>
      <c r="K15" s="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4"/>
      <c r="E16" s="159" t="s">
        <v>290</v>
      </c>
      <c r="F16" s="38">
        <v>250.0</v>
      </c>
      <c r="G16" s="37" t="s">
        <v>281</v>
      </c>
      <c r="H16" s="37" t="s">
        <v>23</v>
      </c>
      <c r="I16" s="37" t="s">
        <v>23</v>
      </c>
      <c r="J16" s="37" t="b">
        <v>0</v>
      </c>
      <c r="K16" s="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4"/>
      <c r="E17" s="159" t="s">
        <v>291</v>
      </c>
      <c r="F17" s="38">
        <v>150.0</v>
      </c>
      <c r="G17" s="37" t="s">
        <v>281</v>
      </c>
      <c r="H17" s="37" t="s">
        <v>23</v>
      </c>
      <c r="I17" s="37" t="s">
        <v>23</v>
      </c>
      <c r="J17" s="37" t="b">
        <v>0</v>
      </c>
      <c r="K17" s="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4"/>
      <c r="E18" s="159" t="s">
        <v>292</v>
      </c>
      <c r="F18" s="38">
        <v>45.0</v>
      </c>
      <c r="G18" s="37" t="s">
        <v>283</v>
      </c>
      <c r="H18" s="160">
        <v>46020.0</v>
      </c>
      <c r="I18" s="37" t="s">
        <v>23</v>
      </c>
      <c r="J18" s="37" t="b">
        <v>1</v>
      </c>
      <c r="K18" s="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4"/>
      <c r="E19" s="159" t="s">
        <v>293</v>
      </c>
      <c r="F19" s="38">
        <v>12000.0</v>
      </c>
      <c r="G19" s="37" t="s">
        <v>285</v>
      </c>
      <c r="H19" s="161"/>
      <c r="I19" s="161"/>
      <c r="J19" s="37" t="b">
        <v>1</v>
      </c>
      <c r="K19" s="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4"/>
      <c r="E20" s="159" t="s">
        <v>294</v>
      </c>
      <c r="F20" s="38">
        <v>4200.0</v>
      </c>
      <c r="G20" s="37" t="s">
        <v>283</v>
      </c>
      <c r="H20" s="37" t="s">
        <v>23</v>
      </c>
      <c r="I20" s="37" t="s">
        <v>23</v>
      </c>
      <c r="J20" s="37" t="b">
        <v>1</v>
      </c>
      <c r="K20" s="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4"/>
      <c r="E21" s="159" t="s">
        <v>228</v>
      </c>
      <c r="F21" s="38">
        <v>1000.0</v>
      </c>
      <c r="G21" s="37" t="s">
        <v>285</v>
      </c>
      <c r="H21" s="37" t="s">
        <v>23</v>
      </c>
      <c r="I21" s="37" t="s">
        <v>23</v>
      </c>
      <c r="J21" s="37" t="b">
        <v>1</v>
      </c>
      <c r="K21" s="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4"/>
      <c r="E22" s="159" t="s">
        <v>295</v>
      </c>
      <c r="F22" s="38">
        <v>900.0</v>
      </c>
      <c r="G22" s="37" t="s">
        <v>283</v>
      </c>
      <c r="H22" s="160">
        <v>46020.0</v>
      </c>
      <c r="I22" s="37" t="s">
        <v>23</v>
      </c>
      <c r="J22" s="37" t="b">
        <v>1</v>
      </c>
      <c r="K22" s="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4"/>
      <c r="E23" s="159" t="s">
        <v>296</v>
      </c>
      <c r="F23" s="38">
        <v>1598.64</v>
      </c>
      <c r="G23" s="37" t="s">
        <v>281</v>
      </c>
      <c r="H23" s="160">
        <v>46020.0</v>
      </c>
      <c r="I23" s="160">
        <v>45952.0</v>
      </c>
      <c r="J23" s="37" t="b">
        <v>1</v>
      </c>
      <c r="K23" s="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4"/>
      <c r="E24" s="162" t="s">
        <v>47</v>
      </c>
      <c r="F24" s="86">
        <f>SUM(F9:F22)</f>
        <v>52145</v>
      </c>
      <c r="G24" s="163"/>
      <c r="H24" s="15"/>
      <c r="I24" s="15"/>
      <c r="J24" s="15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15"/>
      <c r="F25" s="15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</sheetData>
  <autoFilter ref="$E$8:$J$24">
    <sortState ref="E8:J24">
      <sortCondition ref="J8:J24"/>
      <sortCondition descending="1" ref="G8:G24"/>
    </sortState>
  </autoFilter>
  <mergeCells count="1">
    <mergeCell ref="E7:J7"/>
  </mergeCells>
  <conditionalFormatting sqref="E9:J24">
    <cfRule type="expression" dxfId="0" priority="1">
      <formula>IF(COUNTIF(E9:J9,TRUE)=1,TRUE,FALSE)</formula>
    </cfRule>
  </conditionalFormatting>
  <conditionalFormatting sqref="H2">
    <cfRule type="colorScale" priority="2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G9:G23">
      <formula1>"Alta,Média,Baixa"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2.63" defaultRowHeight="15.75"/>
  <cols>
    <col customWidth="1" min="4" max="4" width="16.25"/>
    <col customWidth="1" min="19" max="19" width="16.6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A2" s="2"/>
      <c r="B2" s="2"/>
      <c r="C2" s="2"/>
      <c r="D2" s="2"/>
      <c r="E2" s="2"/>
      <c r="F2" s="164" t="s">
        <v>297</v>
      </c>
      <c r="G2" s="6"/>
      <c r="H2" s="6"/>
      <c r="I2" s="6"/>
      <c r="J2" s="7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>
      <c r="A3" s="2"/>
      <c r="B3" s="2"/>
      <c r="C3" s="2"/>
      <c r="D3" s="2"/>
      <c r="E3" s="2"/>
      <c r="F3" s="10"/>
      <c r="J3" s="11"/>
      <c r="K3" s="165" t="s">
        <v>298</v>
      </c>
      <c r="L3" s="166">
        <f t="shared" ref="L3:L4" si="1">SUM(E15,E31,E47,E64,E82)</f>
        <v>19685.75</v>
      </c>
      <c r="M3" s="9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>
      <c r="A4" s="2"/>
      <c r="B4" s="2"/>
      <c r="C4" s="2"/>
      <c r="D4" s="2"/>
      <c r="E4" s="2"/>
      <c r="F4" s="12"/>
      <c r="G4" s="13"/>
      <c r="H4" s="13"/>
      <c r="I4" s="13"/>
      <c r="J4" s="14"/>
      <c r="K4" s="165" t="s">
        <v>299</v>
      </c>
      <c r="L4" s="167">
        <f t="shared" si="1"/>
        <v>116500</v>
      </c>
      <c r="M4" s="9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>
      <c r="A5" s="2"/>
      <c r="B5" s="2"/>
      <c r="C5" s="2"/>
      <c r="D5" s="2"/>
      <c r="E5" s="2"/>
      <c r="F5" s="2"/>
      <c r="G5" s="2"/>
      <c r="H5" s="2"/>
      <c r="I5" s="2"/>
      <c r="J5" s="4"/>
      <c r="K5" s="165" t="s">
        <v>300</v>
      </c>
      <c r="L5" s="168">
        <f>L3/L4</f>
        <v>0.1689763948</v>
      </c>
      <c r="M5" s="9"/>
      <c r="N5" s="2"/>
      <c r="O5" s="2"/>
      <c r="P5" s="2"/>
      <c r="Q5" s="2"/>
      <c r="R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15"/>
      <c r="L6" s="15"/>
      <c r="M6" s="2"/>
      <c r="N6" s="2"/>
      <c r="O6" s="2"/>
      <c r="P6" s="2"/>
      <c r="Q6" s="2"/>
      <c r="R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>
      <c r="A7" s="2"/>
      <c r="B7" s="2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2"/>
      <c r="R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>
      <c r="A8" s="2"/>
      <c r="B8" s="2"/>
      <c r="C8" s="169"/>
      <c r="D8" s="146"/>
      <c r="E8" s="170" t="s">
        <v>268</v>
      </c>
      <c r="F8" s="170" t="s">
        <v>269</v>
      </c>
      <c r="G8" s="170" t="s">
        <v>270</v>
      </c>
      <c r="H8" s="170" t="s">
        <v>301</v>
      </c>
      <c r="I8" s="170" t="s">
        <v>302</v>
      </c>
      <c r="J8" s="170" t="s">
        <v>303</v>
      </c>
      <c r="K8" s="170" t="s">
        <v>304</v>
      </c>
      <c r="L8" s="170" t="s">
        <v>305</v>
      </c>
      <c r="M8" s="170" t="s">
        <v>306</v>
      </c>
      <c r="N8" s="170" t="s">
        <v>307</v>
      </c>
      <c r="O8" s="170" t="s">
        <v>308</v>
      </c>
      <c r="P8" s="170" t="s">
        <v>309</v>
      </c>
      <c r="Q8" s="9"/>
      <c r="R8" s="2"/>
      <c r="S8" s="1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>
      <c r="A9" s="2"/>
      <c r="B9" s="4"/>
      <c r="C9" s="171" t="s">
        <v>310</v>
      </c>
      <c r="D9" s="170" t="s">
        <v>1</v>
      </c>
      <c r="E9" s="38">
        <v>3200.0</v>
      </c>
      <c r="F9" s="38">
        <v>2800.0</v>
      </c>
      <c r="G9" s="42"/>
      <c r="H9" s="42"/>
      <c r="I9" s="42"/>
      <c r="J9" s="42"/>
      <c r="K9" s="42"/>
      <c r="L9" s="42"/>
      <c r="M9" s="42"/>
      <c r="N9" s="42"/>
      <c r="O9" s="42"/>
      <c r="P9" s="42"/>
      <c r="Q9" s="9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>
      <c r="A10" s="2"/>
      <c r="B10" s="4"/>
      <c r="C10" s="172"/>
      <c r="D10" s="170" t="s">
        <v>271</v>
      </c>
      <c r="E10" s="38" t="s">
        <v>23</v>
      </c>
      <c r="F10" s="38" t="s">
        <v>23</v>
      </c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9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>
      <c r="A11" s="2"/>
      <c r="B11" s="4"/>
      <c r="C11" s="172"/>
      <c r="D11" s="170" t="s">
        <v>311</v>
      </c>
      <c r="E11" s="38"/>
      <c r="F11" s="38">
        <v>52.56</v>
      </c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9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>
      <c r="A12" s="2"/>
      <c r="B12" s="4"/>
      <c r="C12" s="172"/>
      <c r="D12" s="173" t="s">
        <v>312</v>
      </c>
      <c r="E12" s="38">
        <v>3000.0</v>
      </c>
      <c r="F12" s="38">
        <v>3000.0</v>
      </c>
      <c r="G12" s="38">
        <v>3000.0</v>
      </c>
      <c r="H12" s="38">
        <v>3000.0</v>
      </c>
      <c r="I12" s="38">
        <v>3000.0</v>
      </c>
      <c r="J12" s="38">
        <v>3000.0</v>
      </c>
      <c r="K12" s="38">
        <v>3000.0</v>
      </c>
      <c r="L12" s="38">
        <v>3000.0</v>
      </c>
      <c r="M12" s="38">
        <v>3000.0</v>
      </c>
      <c r="N12" s="38">
        <v>3000.0</v>
      </c>
      <c r="O12" s="38">
        <v>3000.0</v>
      </c>
      <c r="P12" s="38">
        <v>3000.0</v>
      </c>
      <c r="Q12" s="9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>
      <c r="A13" s="2"/>
      <c r="B13" s="4"/>
      <c r="C13" s="172"/>
      <c r="D13" s="174"/>
      <c r="E13" s="38" t="b">
        <v>1</v>
      </c>
      <c r="F13" s="38" t="b">
        <v>1</v>
      </c>
      <c r="G13" s="38" t="b">
        <v>0</v>
      </c>
      <c r="H13" s="38" t="b">
        <v>0</v>
      </c>
      <c r="I13" s="42" t="b">
        <v>0</v>
      </c>
      <c r="J13" s="42" t="b">
        <v>0</v>
      </c>
      <c r="K13" s="42" t="b">
        <v>0</v>
      </c>
      <c r="L13" s="42" t="b">
        <v>0</v>
      </c>
      <c r="M13" s="42" t="b">
        <v>0</v>
      </c>
      <c r="N13" s="42" t="b">
        <v>0</v>
      </c>
      <c r="O13" s="42" t="b">
        <v>0</v>
      </c>
      <c r="P13" s="42" t="b">
        <v>0</v>
      </c>
      <c r="Q13" s="9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>
      <c r="A14" s="2"/>
      <c r="B14" s="4"/>
      <c r="C14" s="174"/>
      <c r="D14" s="170" t="s">
        <v>313</v>
      </c>
      <c r="E14" s="42">
        <f>200</f>
        <v>200</v>
      </c>
      <c r="F14" s="175">
        <v>52.56</v>
      </c>
      <c r="G14" s="176"/>
      <c r="H14" s="42"/>
      <c r="I14" s="42"/>
      <c r="J14" s="42"/>
      <c r="K14" s="42"/>
      <c r="L14" s="42"/>
      <c r="M14" s="42"/>
      <c r="N14" s="42"/>
      <c r="O14" s="42"/>
      <c r="P14" s="42"/>
      <c r="Q14" s="9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>
      <c r="A15" s="2"/>
      <c r="B15" s="2"/>
      <c r="C15" s="177"/>
      <c r="D15" s="178" t="s">
        <v>314</v>
      </c>
      <c r="E15" s="179">
        <f>SUM(E9:P9,E11:P11)-SUM(E10:P10)</f>
        <v>6052.56</v>
      </c>
      <c r="F15" s="180"/>
      <c r="G15" s="181"/>
      <c r="H15" s="163"/>
      <c r="K15" s="15"/>
      <c r="L15" s="15"/>
      <c r="M15" s="15"/>
      <c r="N15" s="15"/>
      <c r="O15" s="182" t="s">
        <v>315</v>
      </c>
      <c r="P15" s="183" t="s">
        <v>316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>
      <c r="A16" s="2"/>
      <c r="B16" s="2"/>
      <c r="C16" s="4"/>
      <c r="D16" s="178" t="s">
        <v>317</v>
      </c>
      <c r="E16" s="184">
        <v>50000.0</v>
      </c>
      <c r="F16" s="185"/>
      <c r="G16" s="78"/>
      <c r="H16" s="9"/>
      <c r="K16" s="2"/>
      <c r="L16" s="2"/>
      <c r="M16" s="2"/>
      <c r="N16" s="2"/>
      <c r="O16" s="182" t="s">
        <v>318</v>
      </c>
      <c r="P16" s="182" t="s">
        <v>319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>
      <c r="A17" s="2"/>
      <c r="B17" s="2"/>
      <c r="C17" s="4"/>
      <c r="D17" s="154" t="s">
        <v>300</v>
      </c>
      <c r="E17" s="186">
        <f>E15/E16</f>
        <v>0.1210512</v>
      </c>
      <c r="F17" s="185"/>
      <c r="G17" s="78"/>
      <c r="H17" s="9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>
      <c r="A18" s="2"/>
      <c r="B18" s="2"/>
      <c r="C18" s="2"/>
      <c r="F18" s="78"/>
      <c r="G18" s="78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>
      <c r="A24" s="2"/>
      <c r="B24" s="2"/>
      <c r="C24" s="169"/>
      <c r="D24" s="146"/>
      <c r="E24" s="170" t="s">
        <v>268</v>
      </c>
      <c r="F24" s="170" t="s">
        <v>269</v>
      </c>
      <c r="G24" s="170" t="s">
        <v>270</v>
      </c>
      <c r="H24" s="170" t="s">
        <v>301</v>
      </c>
      <c r="I24" s="170" t="s">
        <v>302</v>
      </c>
      <c r="J24" s="170" t="s">
        <v>303</v>
      </c>
      <c r="K24" s="170" t="s">
        <v>304</v>
      </c>
      <c r="L24" s="170" t="s">
        <v>305</v>
      </c>
      <c r="M24" s="170" t="s">
        <v>306</v>
      </c>
      <c r="N24" s="170" t="s">
        <v>307</v>
      </c>
      <c r="O24" s="170" t="s">
        <v>308</v>
      </c>
      <c r="P24" s="170" t="s">
        <v>309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>
      <c r="A25" s="2"/>
      <c r="B25" s="2"/>
      <c r="C25" s="171" t="s">
        <v>320</v>
      </c>
      <c r="D25" s="170" t="s">
        <v>1</v>
      </c>
      <c r="E25" s="38">
        <v>10000.0</v>
      </c>
      <c r="F25" s="38">
        <v>400.0</v>
      </c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>
      <c r="A26" s="2"/>
      <c r="B26" s="2"/>
      <c r="C26" s="172"/>
      <c r="D26" s="170" t="s">
        <v>271</v>
      </c>
      <c r="E26" s="38" t="s">
        <v>23</v>
      </c>
      <c r="F26" s="38" t="s">
        <v>23</v>
      </c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>
      <c r="A27" s="2"/>
      <c r="B27" s="2"/>
      <c r="C27" s="172"/>
      <c r="D27" s="170" t="s">
        <v>311</v>
      </c>
      <c r="E27" s="42"/>
      <c r="F27" s="38">
        <v>151.76</v>
      </c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>
      <c r="A28" s="2"/>
      <c r="B28" s="2"/>
      <c r="C28" s="172"/>
      <c r="D28" s="173" t="s">
        <v>312</v>
      </c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>
      <c r="A29" s="2"/>
      <c r="B29" s="2"/>
      <c r="C29" s="172"/>
      <c r="D29" s="174"/>
      <c r="E29" s="38" t="b">
        <v>1</v>
      </c>
      <c r="F29" s="38" t="b">
        <v>1</v>
      </c>
      <c r="G29" s="38" t="b">
        <v>0</v>
      </c>
      <c r="H29" s="38" t="b">
        <v>0</v>
      </c>
      <c r="I29" s="42" t="b">
        <v>0</v>
      </c>
      <c r="J29" s="42" t="b">
        <v>0</v>
      </c>
      <c r="K29" s="42" t="b">
        <v>0</v>
      </c>
      <c r="L29" s="42" t="b">
        <v>0</v>
      </c>
      <c r="M29" s="42" t="b">
        <v>0</v>
      </c>
      <c r="N29" s="42" t="b">
        <v>0</v>
      </c>
      <c r="O29" s="42" t="b">
        <v>0</v>
      </c>
      <c r="P29" s="42" t="b">
        <v>0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>
      <c r="A30" s="2"/>
      <c r="B30" s="2"/>
      <c r="C30" s="174"/>
      <c r="D30" s="170" t="s">
        <v>313</v>
      </c>
      <c r="E30" s="42"/>
      <c r="F30" s="176"/>
      <c r="G30" s="176"/>
      <c r="H30" s="42"/>
      <c r="I30" s="42"/>
      <c r="J30" s="42"/>
      <c r="K30" s="42"/>
      <c r="L30" s="42"/>
      <c r="M30" s="42"/>
      <c r="N30" s="42"/>
      <c r="O30" s="42"/>
      <c r="P30" s="4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>
      <c r="A31" s="2"/>
      <c r="B31" s="2"/>
      <c r="C31" s="177"/>
      <c r="D31" s="178" t="s">
        <v>314</v>
      </c>
      <c r="E31" s="179">
        <f>SUM(E25:P25,E27:P27)-SUM(E26:P26)</f>
        <v>10551.76</v>
      </c>
      <c r="F31" s="180"/>
      <c r="G31" s="181"/>
      <c r="H31" s="163"/>
      <c r="K31" s="15"/>
      <c r="L31" s="15"/>
      <c r="M31" s="15"/>
      <c r="N31" s="15"/>
      <c r="O31" s="182" t="s">
        <v>315</v>
      </c>
      <c r="P31" s="183" t="s">
        <v>23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>
      <c r="A32" s="2"/>
      <c r="B32" s="2"/>
      <c r="C32" s="4"/>
      <c r="D32" s="178" t="s">
        <v>317</v>
      </c>
      <c r="E32" s="184">
        <v>25000.0</v>
      </c>
      <c r="F32" s="185"/>
      <c r="G32" s="78"/>
      <c r="H32" s="9"/>
      <c r="K32" s="2"/>
      <c r="L32" s="2"/>
      <c r="M32" s="2"/>
      <c r="N32" s="2"/>
      <c r="O32" s="182" t="s">
        <v>318</v>
      </c>
      <c r="P32" s="182" t="s">
        <v>23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>
      <c r="A33" s="2"/>
      <c r="B33" s="2"/>
      <c r="C33" s="4"/>
      <c r="D33" s="154" t="s">
        <v>300</v>
      </c>
      <c r="E33" s="186">
        <f>E31/E32</f>
        <v>0.4220704</v>
      </c>
      <c r="F33" s="185"/>
      <c r="G33" s="78"/>
      <c r="H33" s="9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>
      <c r="A34" s="2"/>
      <c r="B34" s="2"/>
      <c r="C34" s="2"/>
      <c r="F34" s="78"/>
      <c r="G34" s="78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>
      <c r="A40" s="2"/>
      <c r="B40" s="2"/>
      <c r="C40" s="169"/>
      <c r="D40" s="146"/>
      <c r="E40" s="170" t="s">
        <v>268</v>
      </c>
      <c r="F40" s="170" t="s">
        <v>269</v>
      </c>
      <c r="G40" s="170" t="s">
        <v>270</v>
      </c>
      <c r="H40" s="170" t="s">
        <v>301</v>
      </c>
      <c r="I40" s="170" t="s">
        <v>302</v>
      </c>
      <c r="J40" s="170" t="s">
        <v>303</v>
      </c>
      <c r="K40" s="170" t="s">
        <v>304</v>
      </c>
      <c r="L40" s="170" t="s">
        <v>305</v>
      </c>
      <c r="M40" s="170" t="s">
        <v>306</v>
      </c>
      <c r="N40" s="170" t="s">
        <v>307</v>
      </c>
      <c r="O40" s="170" t="s">
        <v>308</v>
      </c>
      <c r="P40" s="170" t="s">
        <v>309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>
      <c r="A41" s="2"/>
      <c r="B41" s="2"/>
      <c r="C41" s="171" t="s">
        <v>321</v>
      </c>
      <c r="D41" s="170" t="s">
        <v>1</v>
      </c>
      <c r="E41" s="38">
        <v>1000.0</v>
      </c>
      <c r="F41" s="38">
        <v>500.0</v>
      </c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>
      <c r="A42" s="2"/>
      <c r="B42" s="2"/>
      <c r="C42" s="172"/>
      <c r="D42" s="170" t="s">
        <v>271</v>
      </c>
      <c r="E42" s="38" t="s">
        <v>23</v>
      </c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>
      <c r="A43" s="2"/>
      <c r="B43" s="2"/>
      <c r="C43" s="172"/>
      <c r="D43" s="170" t="s">
        <v>311</v>
      </c>
      <c r="E43" s="42"/>
      <c r="F43" s="38">
        <v>15.67</v>
      </c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>
      <c r="A44" s="2"/>
      <c r="B44" s="2"/>
      <c r="C44" s="172"/>
      <c r="D44" s="173" t="s">
        <v>312</v>
      </c>
      <c r="E44" s="38">
        <v>1625.0</v>
      </c>
      <c r="F44" s="38">
        <v>1625.0</v>
      </c>
      <c r="G44" s="38">
        <v>1625.0</v>
      </c>
      <c r="H44" s="38">
        <v>1625.0</v>
      </c>
      <c r="I44" s="38"/>
      <c r="J44" s="38"/>
      <c r="K44" s="38"/>
      <c r="L44" s="38"/>
      <c r="M44" s="38"/>
      <c r="N44" s="38"/>
      <c r="O44" s="38"/>
      <c r="P44" s="38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>
      <c r="A45" s="2"/>
      <c r="B45" s="2"/>
      <c r="C45" s="172"/>
      <c r="D45" s="174"/>
      <c r="E45" s="38" t="b">
        <v>0</v>
      </c>
      <c r="F45" s="38" t="b">
        <v>0</v>
      </c>
      <c r="G45" s="38" t="b">
        <v>0</v>
      </c>
      <c r="H45" s="38" t="b">
        <v>0</v>
      </c>
      <c r="I45" s="42" t="b">
        <v>0</v>
      </c>
      <c r="J45" s="42" t="b">
        <v>0</v>
      </c>
      <c r="K45" s="42" t="b">
        <v>0</v>
      </c>
      <c r="L45" s="42" t="b">
        <v>0</v>
      </c>
      <c r="M45" s="42" t="b">
        <v>0</v>
      </c>
      <c r="N45" s="42" t="b">
        <v>0</v>
      </c>
      <c r="O45" s="42" t="b">
        <v>0</v>
      </c>
      <c r="P45" s="42" t="b">
        <v>0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>
      <c r="A46" s="2"/>
      <c r="B46" s="2"/>
      <c r="C46" s="174"/>
      <c r="D46" s="170" t="s">
        <v>313</v>
      </c>
      <c r="E46" s="42"/>
      <c r="F46" s="176"/>
      <c r="G46" s="176"/>
      <c r="H46" s="42"/>
      <c r="I46" s="42"/>
      <c r="J46" s="42"/>
      <c r="K46" s="42"/>
      <c r="L46" s="42"/>
      <c r="M46" s="42"/>
      <c r="N46" s="42"/>
      <c r="O46" s="42"/>
      <c r="P46" s="4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>
      <c r="A47" s="2"/>
      <c r="B47" s="2"/>
      <c r="C47" s="177"/>
      <c r="D47" s="178" t="s">
        <v>314</v>
      </c>
      <c r="E47" s="179">
        <f>SUM(E41:P41,E43:P43)-SUM(E42:P42)</f>
        <v>1515.67</v>
      </c>
      <c r="F47" s="180"/>
      <c r="G47" s="181"/>
      <c r="H47" s="163"/>
      <c r="K47" s="15"/>
      <c r="L47" s="15"/>
      <c r="M47" s="15"/>
      <c r="N47" s="15"/>
      <c r="O47" s="182" t="s">
        <v>315</v>
      </c>
      <c r="P47" s="183" t="s">
        <v>322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>
      <c r="A48" s="2"/>
      <c r="B48" s="2"/>
      <c r="C48" s="4"/>
      <c r="D48" s="178" t="s">
        <v>317</v>
      </c>
      <c r="E48" s="184">
        <v>6500.0</v>
      </c>
      <c r="F48" s="185"/>
      <c r="G48" s="78"/>
      <c r="H48" s="9"/>
      <c r="K48" s="2"/>
      <c r="L48" s="2"/>
      <c r="M48" s="2"/>
      <c r="N48" s="2"/>
      <c r="O48" s="182" t="s">
        <v>318</v>
      </c>
      <c r="P48" s="182" t="s">
        <v>323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>
      <c r="A49" s="2"/>
      <c r="B49" s="2"/>
      <c r="C49" s="4"/>
      <c r="D49" s="154" t="s">
        <v>300</v>
      </c>
      <c r="E49" s="186">
        <f>E47/E48</f>
        <v>0.23318</v>
      </c>
      <c r="F49" s="185"/>
      <c r="G49" s="78"/>
      <c r="H49" s="9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>
      <c r="A57" s="2"/>
      <c r="B57" s="2"/>
      <c r="C57" s="169"/>
      <c r="D57" s="146"/>
      <c r="E57" s="170" t="s">
        <v>268</v>
      </c>
      <c r="F57" s="170" t="s">
        <v>269</v>
      </c>
      <c r="G57" s="170" t="s">
        <v>270</v>
      </c>
      <c r="H57" s="170" t="s">
        <v>301</v>
      </c>
      <c r="I57" s="170" t="s">
        <v>302</v>
      </c>
      <c r="J57" s="170" t="s">
        <v>303</v>
      </c>
      <c r="K57" s="170" t="s">
        <v>304</v>
      </c>
      <c r="L57" s="170" t="s">
        <v>305</v>
      </c>
      <c r="M57" s="170" t="s">
        <v>306</v>
      </c>
      <c r="N57" s="170" t="s">
        <v>307</v>
      </c>
      <c r="O57" s="170" t="s">
        <v>308</v>
      </c>
      <c r="P57" s="170" t="s">
        <v>309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>
      <c r="A58" s="2"/>
      <c r="B58" s="2"/>
      <c r="C58" s="171" t="s">
        <v>324</v>
      </c>
      <c r="D58" s="170" t="s">
        <v>1</v>
      </c>
      <c r="E58" s="38">
        <v>1000.0</v>
      </c>
      <c r="F58" s="38">
        <v>550.0</v>
      </c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>
      <c r="A59" s="2"/>
      <c r="B59" s="2"/>
      <c r="C59" s="172"/>
      <c r="D59" s="170" t="s">
        <v>271</v>
      </c>
      <c r="E59" s="38" t="s">
        <v>23</v>
      </c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>
      <c r="A60" s="2"/>
      <c r="B60" s="2"/>
      <c r="C60" s="172"/>
      <c r="D60" s="170" t="s">
        <v>311</v>
      </c>
      <c r="E60" s="42"/>
      <c r="F60" s="38">
        <v>15.76</v>
      </c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>
      <c r="A61" s="2"/>
      <c r="B61" s="2"/>
      <c r="C61" s="172"/>
      <c r="D61" s="173" t="s">
        <v>312</v>
      </c>
      <c r="E61" s="38">
        <v>1700.0</v>
      </c>
      <c r="F61" s="38">
        <v>1700.0</v>
      </c>
      <c r="G61" s="38">
        <v>1700.0</v>
      </c>
      <c r="H61" s="38"/>
      <c r="I61" s="38"/>
      <c r="J61" s="38"/>
      <c r="K61" s="38"/>
      <c r="L61" s="38"/>
      <c r="M61" s="38"/>
      <c r="N61" s="38"/>
      <c r="O61" s="38"/>
      <c r="P61" s="38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>
      <c r="A62" s="2"/>
      <c r="B62" s="2"/>
      <c r="C62" s="172"/>
      <c r="D62" s="174"/>
      <c r="E62" s="38" t="b">
        <v>0</v>
      </c>
      <c r="F62" s="38" t="b">
        <v>0</v>
      </c>
      <c r="G62" s="38" t="b">
        <v>0</v>
      </c>
      <c r="H62" s="38" t="b">
        <v>0</v>
      </c>
      <c r="I62" s="42" t="b">
        <v>0</v>
      </c>
      <c r="J62" s="42" t="b">
        <v>0</v>
      </c>
      <c r="K62" s="42" t="b">
        <v>0</v>
      </c>
      <c r="L62" s="42" t="b">
        <v>0</v>
      </c>
      <c r="M62" s="42" t="b">
        <v>0</v>
      </c>
      <c r="N62" s="42" t="b">
        <v>0</v>
      </c>
      <c r="O62" s="42" t="b">
        <v>0</v>
      </c>
      <c r="P62" s="42" t="b">
        <v>0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>
      <c r="A63" s="2"/>
      <c r="B63" s="2"/>
      <c r="C63" s="174"/>
      <c r="D63" s="170" t="s">
        <v>313</v>
      </c>
      <c r="E63" s="42"/>
      <c r="F63" s="176"/>
      <c r="G63" s="176"/>
      <c r="H63" s="42"/>
      <c r="I63" s="42"/>
      <c r="J63" s="42"/>
      <c r="K63" s="42"/>
      <c r="L63" s="42"/>
      <c r="M63" s="42"/>
      <c r="N63" s="42"/>
      <c r="O63" s="42"/>
      <c r="P63" s="4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>
      <c r="A64" s="2"/>
      <c r="B64" s="2"/>
      <c r="C64" s="177"/>
      <c r="D64" s="178" t="s">
        <v>314</v>
      </c>
      <c r="E64" s="179">
        <f>SUM(E58:P58,E60:P60)-SUM(E59:P59)</f>
        <v>1565.76</v>
      </c>
      <c r="F64" s="180"/>
      <c r="G64" s="181"/>
      <c r="H64" s="163"/>
      <c r="K64" s="15"/>
      <c r="L64" s="15"/>
      <c r="M64" s="15"/>
      <c r="N64" s="15"/>
      <c r="O64" s="182" t="s">
        <v>315</v>
      </c>
      <c r="P64" s="183" t="s">
        <v>325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>
      <c r="A65" s="2"/>
      <c r="B65" s="2"/>
      <c r="C65" s="4"/>
      <c r="D65" s="178" t="s">
        <v>317</v>
      </c>
      <c r="E65" s="184">
        <v>5000.0</v>
      </c>
      <c r="F65" s="185"/>
      <c r="G65" s="78"/>
      <c r="H65" s="9"/>
      <c r="K65" s="2"/>
      <c r="L65" s="2"/>
      <c r="M65" s="2"/>
      <c r="N65" s="2"/>
      <c r="O65" s="182" t="s">
        <v>318</v>
      </c>
      <c r="P65" s="182" t="s">
        <v>326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>
      <c r="A66" s="2"/>
      <c r="B66" s="2"/>
      <c r="C66" s="4"/>
      <c r="D66" s="154" t="s">
        <v>300</v>
      </c>
      <c r="E66" s="186">
        <f>E64/E65</f>
        <v>0.313152</v>
      </c>
      <c r="F66" s="185"/>
      <c r="G66" s="78"/>
      <c r="H66" s="9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>
      <c r="A75" s="2"/>
      <c r="B75" s="2"/>
      <c r="C75" s="169"/>
      <c r="D75" s="146"/>
      <c r="E75" s="170" t="s">
        <v>268</v>
      </c>
      <c r="F75" s="170" t="s">
        <v>269</v>
      </c>
      <c r="G75" s="170" t="s">
        <v>270</v>
      </c>
      <c r="H75" s="170" t="s">
        <v>301</v>
      </c>
      <c r="I75" s="170" t="s">
        <v>302</v>
      </c>
      <c r="J75" s="170" t="s">
        <v>303</v>
      </c>
      <c r="K75" s="170" t="s">
        <v>304</v>
      </c>
      <c r="L75" s="170" t="s">
        <v>305</v>
      </c>
      <c r="M75" s="170" t="s">
        <v>306</v>
      </c>
      <c r="N75" s="170" t="s">
        <v>307</v>
      </c>
      <c r="O75" s="170" t="s">
        <v>308</v>
      </c>
      <c r="P75" s="170" t="s">
        <v>309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>
      <c r="A76" s="2"/>
      <c r="B76" s="2"/>
      <c r="C76" s="171" t="s">
        <v>327</v>
      </c>
      <c r="D76" s="170" t="s">
        <v>1</v>
      </c>
      <c r="E76" s="38" t="s">
        <v>23</v>
      </c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>
      <c r="A77" s="2"/>
      <c r="B77" s="2"/>
      <c r="C77" s="172"/>
      <c r="D77" s="170" t="s">
        <v>271</v>
      </c>
      <c r="E77" s="38" t="s">
        <v>23</v>
      </c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>
      <c r="A78" s="2"/>
      <c r="B78" s="2"/>
      <c r="C78" s="172"/>
      <c r="D78" s="170" t="s">
        <v>311</v>
      </c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>
      <c r="A79" s="2"/>
      <c r="B79" s="2"/>
      <c r="C79" s="172"/>
      <c r="D79" s="173" t="s">
        <v>312</v>
      </c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>
      <c r="A80" s="2"/>
      <c r="B80" s="2"/>
      <c r="C80" s="172"/>
      <c r="D80" s="174"/>
      <c r="E80" s="38" t="b">
        <v>0</v>
      </c>
      <c r="F80" s="38" t="b">
        <v>0</v>
      </c>
      <c r="G80" s="38" t="b">
        <v>0</v>
      </c>
      <c r="H80" s="38" t="b">
        <v>0</v>
      </c>
      <c r="I80" s="42" t="b">
        <v>0</v>
      </c>
      <c r="J80" s="42" t="b">
        <v>0</v>
      </c>
      <c r="K80" s="42" t="b">
        <v>0</v>
      </c>
      <c r="L80" s="42" t="b">
        <v>0</v>
      </c>
      <c r="M80" s="42" t="b">
        <v>0</v>
      </c>
      <c r="N80" s="42" t="b">
        <v>0</v>
      </c>
      <c r="O80" s="42" t="b">
        <v>0</v>
      </c>
      <c r="P80" s="42" t="b">
        <v>0</v>
      </c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>
      <c r="A81" s="2"/>
      <c r="B81" s="2"/>
      <c r="C81" s="174"/>
      <c r="D81" s="170" t="s">
        <v>313</v>
      </c>
      <c r="E81" s="42"/>
      <c r="F81" s="176"/>
      <c r="G81" s="176"/>
      <c r="H81" s="42"/>
      <c r="I81" s="42"/>
      <c r="J81" s="42"/>
      <c r="K81" s="42"/>
      <c r="L81" s="42"/>
      <c r="M81" s="42"/>
      <c r="N81" s="42"/>
      <c r="O81" s="42"/>
      <c r="P81" s="4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>
      <c r="A82" s="2"/>
      <c r="B82" s="2"/>
      <c r="C82" s="177"/>
      <c r="D82" s="178" t="s">
        <v>314</v>
      </c>
      <c r="E82" s="179">
        <f>SUM(E76:P76,E78:P78)-SUM(E77:P77)</f>
        <v>0</v>
      </c>
      <c r="F82" s="180"/>
      <c r="G82" s="181"/>
      <c r="H82" s="163"/>
      <c r="K82" s="15"/>
      <c r="L82" s="15"/>
      <c r="M82" s="15"/>
      <c r="N82" s="15"/>
      <c r="O82" s="182" t="s">
        <v>315</v>
      </c>
      <c r="P82" s="183" t="s">
        <v>23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>
      <c r="A83" s="2"/>
      <c r="B83" s="2"/>
      <c r="C83" s="4"/>
      <c r="D83" s="178" t="s">
        <v>317</v>
      </c>
      <c r="E83" s="184">
        <v>30000.0</v>
      </c>
      <c r="F83" s="185"/>
      <c r="G83" s="78"/>
      <c r="H83" s="9"/>
      <c r="K83" s="2"/>
      <c r="L83" s="2"/>
      <c r="M83" s="2"/>
      <c r="N83" s="2"/>
      <c r="O83" s="182" t="s">
        <v>318</v>
      </c>
      <c r="P83" s="182" t="s">
        <v>23</v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>
      <c r="A84" s="2"/>
      <c r="B84" s="2"/>
      <c r="C84" s="4"/>
      <c r="D84" s="154" t="s">
        <v>300</v>
      </c>
      <c r="E84" s="186">
        <f>E82/E83</f>
        <v>0</v>
      </c>
      <c r="F84" s="185"/>
      <c r="G84" s="78"/>
      <c r="H84" s="9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</sheetData>
  <mergeCells count="11">
    <mergeCell ref="C58:C63"/>
    <mergeCell ref="D61:D62"/>
    <mergeCell ref="C76:C81"/>
    <mergeCell ref="D79:D80"/>
    <mergeCell ref="F2:J4"/>
    <mergeCell ref="C9:C14"/>
    <mergeCell ref="D12:D13"/>
    <mergeCell ref="C25:C30"/>
    <mergeCell ref="D28:D29"/>
    <mergeCell ref="C41:C46"/>
    <mergeCell ref="D44:D45"/>
  </mergeCells>
  <conditionalFormatting sqref="E9:P14 E25:P30 E41:P46 E58:P63 E76:P81">
    <cfRule type="expression" dxfId="1" priority="1">
      <formula>IF(COUNTIF(E9:E14,TRUE)=1,TRUE,FALSE)</formula>
    </cfRule>
  </conditionalFormatting>
  <conditionalFormatting sqref="G19">
    <cfRule type="notContainsBlanks" dxfId="2" priority="2">
      <formula>LEN(TRIM(G19))&gt;0</formula>
    </cfRule>
  </conditionalFormatting>
  <drawing r:id="rId1"/>
</worksheet>
</file>